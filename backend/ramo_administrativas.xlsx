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faserta-my.sharepoint.com/personal/aexiga_aserta_com/Documents/Documentos/Datos/MARTIN/alfonsoI/AMIG/"/>
    </mc:Choice>
  </mc:AlternateContent>
  <xr:revisionPtr revIDLastSave="644" documentId="13_ncr:1_{8687CFEE-54A6-4E34-BE63-38349679A20D}" xr6:coauthVersionLast="47" xr6:coauthVersionMax="47" xr10:uidLastSave="{E35AC488-8473-4F5F-BEB8-D16BE9B8A980}"/>
  <bookViews>
    <workbookView xWindow="-110" yWindow="-110" windowWidth="19420" windowHeight="10420" activeTab="3" xr2:uid="{00000000-000D-0000-FFFF-FFFF00000000}"/>
  </bookViews>
  <sheets>
    <sheet name="PD" sheetId="1" r:id="rId1"/>
    <sheet name="COB_EXC" sheetId="2" r:id="rId2"/>
    <sheet name="GTOSOP" sheetId="3" r:id="rId3"/>
    <sheet name="ORVAS" sheetId="4" r:id="rId4"/>
  </sheets>
  <definedNames>
    <definedName name="_xlnm.Print_Area" localSheetId="1">COB_EXC!$A$15:$S$31</definedName>
    <definedName name="_xlnm.Print_Area" localSheetId="2">GTOSOP!$A$15:$S$31</definedName>
    <definedName name="_xlnm.Print_Area" localSheetId="3">ORVAS!$A$15:$R$31</definedName>
    <definedName name="_xlnm.Print_Area" localSheetId="0">PD!$A$14:$U$18</definedName>
    <definedName name="_xlnm.Print_Titles" localSheetId="1">COB_EXC!$6:$14</definedName>
    <definedName name="_xlnm.Print_Titles" localSheetId="2">GTOSOP!$6:$14</definedName>
    <definedName name="_xlnm.Print_Titles" localSheetId="3">ORVAS!$6:$14</definedName>
    <definedName name="_xlnm.Print_Titles" localSheetId="0">PD!$6:$14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FD1048573" i="4" l="1"/>
  <c r="XFD1048572" i="4"/>
  <c r="XFD1048571" i="4"/>
  <c r="XFD1048570" i="4"/>
  <c r="XFD1048569" i="3"/>
  <c r="XFD1048568" i="3"/>
  <c r="XFD1048567" i="3"/>
  <c r="XFD1048566" i="3"/>
  <c r="XFD1048571" i="2"/>
  <c r="XFD1048570" i="2"/>
  <c r="XFD1048569" i="2"/>
  <c r="XFD1048568" i="2"/>
  <c r="XFD1048571" i="1"/>
  <c r="XFD1048570" i="1"/>
  <c r="XFD1048569" i="1"/>
  <c r="XFD1048568" i="1"/>
  <c r="Q12" i="4"/>
  <c r="R12" i="4" s="1"/>
  <c r="O12" i="4"/>
  <c r="P12" i="4" s="1"/>
  <c r="J12" i="4"/>
  <c r="K12" i="4" s="1"/>
  <c r="G12" i="4"/>
  <c r="H12" i="4"/>
  <c r="E12" i="4"/>
  <c r="D12" i="4"/>
  <c r="R32" i="4"/>
  <c r="Q32" i="4"/>
  <c r="P32" i="4"/>
  <c r="N32" i="4"/>
  <c r="K32" i="4"/>
  <c r="I32" i="4"/>
  <c r="F32" i="4"/>
  <c r="C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M32" i="3"/>
  <c r="H32" i="3"/>
  <c r="C32" i="3"/>
  <c r="S12" i="3"/>
  <c r="Q12" i="3"/>
  <c r="O12" i="3"/>
  <c r="L12" i="3"/>
  <c r="J12" i="3"/>
  <c r="R12" i="3"/>
  <c r="P12" i="3"/>
  <c r="N12" i="3"/>
  <c r="K12" i="3"/>
  <c r="I12" i="3"/>
  <c r="F12" i="3"/>
  <c r="G12" i="3" s="1"/>
  <c r="D12" i="3"/>
  <c r="E12" i="3" s="1"/>
  <c r="S12" i="2"/>
  <c r="R12" i="2"/>
  <c r="Q12" i="2"/>
  <c r="P12" i="2"/>
  <c r="N12" i="2"/>
  <c r="M12" i="2"/>
  <c r="K12" i="2"/>
  <c r="J12" i="2"/>
  <c r="H12" i="2"/>
  <c r="G12" i="2"/>
  <c r="E12" i="2"/>
  <c r="D12" i="2"/>
  <c r="T12" i="1"/>
  <c r="Q12" i="1"/>
  <c r="R12" i="1" s="1"/>
  <c r="N12" i="1"/>
  <c r="K12" i="1"/>
  <c r="H12" i="1"/>
  <c r="C12" i="1"/>
  <c r="D12" i="1" s="1"/>
  <c r="O12" i="1"/>
  <c r="I12" i="1"/>
  <c r="S32" i="2"/>
  <c r="R32" i="2"/>
  <c r="O32" i="2"/>
  <c r="L32" i="2"/>
  <c r="I32" i="2"/>
  <c r="F32" i="2"/>
  <c r="C32" i="2"/>
  <c r="S32" i="1"/>
  <c r="P32" i="1"/>
  <c r="M32" i="1"/>
  <c r="I32" i="1"/>
  <c r="G32" i="1"/>
  <c r="D32" i="1"/>
  <c r="C32" i="1"/>
  <c r="A19" i="2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T31" i="1"/>
  <c r="Q31" i="1"/>
  <c r="N31" i="1"/>
  <c r="K31" i="1"/>
  <c r="H31" i="1"/>
  <c r="E31" i="1"/>
  <c r="F31" i="1" s="1"/>
  <c r="T30" i="1"/>
  <c r="Q30" i="1"/>
  <c r="N30" i="1"/>
  <c r="K30" i="1"/>
  <c r="H30" i="1"/>
  <c r="E30" i="1"/>
  <c r="F30" i="1" s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T15" i="1"/>
  <c r="Q15" i="1"/>
  <c r="N15" i="1"/>
  <c r="K15" i="1"/>
  <c r="H15" i="1"/>
  <c r="L12" i="1" l="1"/>
  <c r="E15" i="1"/>
  <c r="F15" i="1" s="1"/>
</calcChain>
</file>

<file path=xl/sharedStrings.xml><?xml version="1.0" encoding="utf-8"?>
<sst xmlns="http://schemas.openxmlformats.org/spreadsheetml/2006/main" count="199" uniqueCount="83">
  <si>
    <t>INDICES DE GESTION DEL ESTADO DE RESULTADOS POR COMPAÑÍA</t>
  </si>
  <si>
    <t>(Miles de pesos)</t>
  </si>
  <si>
    <t>Posición</t>
  </si>
  <si>
    <t>Compañía</t>
  </si>
  <si>
    <t>Primas Directas</t>
  </si>
  <si>
    <t>Prima Tomada</t>
  </si>
  <si>
    <t>Prima Cedida</t>
  </si>
  <si>
    <t>Prima Retenida</t>
  </si>
  <si>
    <t>Inc. Rva. Riesgo Curso Ret.</t>
  </si>
  <si>
    <t>Prima Devengada Retenida</t>
  </si>
  <si>
    <t>Monto</t>
  </si>
  <si>
    <t>Incremento</t>
  </si>
  <si>
    <t>%</t>
  </si>
  <si>
    <t xml:space="preserve"> 2 / Prima Emitida</t>
  </si>
  <si>
    <t>3 / 1</t>
  </si>
  <si>
    <t>4 / 1</t>
  </si>
  <si>
    <t>5 / 4</t>
  </si>
  <si>
    <t>6 / 4</t>
  </si>
  <si>
    <t>Otras Reservas</t>
  </si>
  <si>
    <t>Impto. a la Utilidad</t>
  </si>
  <si>
    <t>Rtado en Subsidiarias y Op. Discontinuadas</t>
  </si>
  <si>
    <t>Resultado Neto</t>
  </si>
  <si>
    <t>Indice Combinado</t>
  </si>
  <si>
    <t>15</t>
  </si>
  <si>
    <t>15/1</t>
  </si>
  <si>
    <t>16</t>
  </si>
  <si>
    <t>16/1</t>
  </si>
  <si>
    <t>17</t>
  </si>
  <si>
    <t>17/1</t>
  </si>
  <si>
    <t>18</t>
  </si>
  <si>
    <t>18/1</t>
  </si>
  <si>
    <t>Gastos de Operación</t>
  </si>
  <si>
    <t>Resultado de Operación</t>
  </si>
  <si>
    <t>Producto Financiero</t>
  </si>
  <si>
    <t>13</t>
  </si>
  <si>
    <t>13/1</t>
  </si>
  <si>
    <t>13/4</t>
  </si>
  <si>
    <t>14</t>
  </si>
  <si>
    <t>14/1</t>
  </si>
  <si>
    <t>Cobertura Exc. de Pérdida</t>
  </si>
  <si>
    <t>Costo Neto de Adquisición</t>
  </si>
  <si>
    <t>Resultado Técnico</t>
  </si>
  <si>
    <t>7</t>
  </si>
  <si>
    <t>7/4</t>
  </si>
  <si>
    <t>8</t>
  </si>
  <si>
    <t>8/1</t>
  </si>
  <si>
    <t>9</t>
  </si>
  <si>
    <t>9/4</t>
  </si>
  <si>
    <t>10</t>
  </si>
  <si>
    <t>10/6</t>
  </si>
  <si>
    <t>11</t>
  </si>
  <si>
    <t>11/1</t>
  </si>
  <si>
    <t>Rtado Particp. Inv. Perman.</t>
  </si>
  <si>
    <t>19</t>
  </si>
  <si>
    <t>14/4</t>
  </si>
  <si>
    <t>Cto Adquisición Directo</t>
  </si>
  <si>
    <t>Prom. Inv.</t>
  </si>
  <si>
    <t>Cto. Siniestralidad Retenida</t>
  </si>
  <si>
    <t>15/4</t>
  </si>
  <si>
    <t>19/1</t>
  </si>
  <si>
    <t>Asociación Mexicana de Garantías</t>
  </si>
  <si>
    <t>Primer Trimestre 2023</t>
  </si>
  <si>
    <t>Aseguradora Aserta, S.A. DE C.V.</t>
  </si>
  <si>
    <t>Chubb Fianzas Monterrey, Aseguradora de Caución, S.A.</t>
  </si>
  <si>
    <t>Inbursa Seguros de Caución y Fianzas, S.A.</t>
  </si>
  <si>
    <t>Berkley International Fianzas México, S.A. DE C.V.</t>
  </si>
  <si>
    <t>Aseguradora Insurgentes, S.A. de C.V.</t>
  </si>
  <si>
    <t>Liberty Fianzas, S.A. de C.V.</t>
  </si>
  <si>
    <t>Tokio Marine, S.A.</t>
  </si>
  <si>
    <t>Fianzas y Cauciones Atlas, S.A.</t>
  </si>
  <si>
    <t>Fianzas Avanza, S.A. de C.V.</t>
  </si>
  <si>
    <t>AVLA Seguros. S. A de C.V.</t>
  </si>
  <si>
    <t>Mapfre Fianzas, S.A. de C.V.</t>
  </si>
  <si>
    <t>Cescemex, S.A. de C.V.</t>
  </si>
  <si>
    <t>Crédito Afianzador, S.A.</t>
  </si>
  <si>
    <t>Fianzas Asecam, S.A.</t>
  </si>
  <si>
    <t xml:space="preserve">Fiducia, S.A. </t>
  </si>
  <si>
    <t>Dorama, Institución de Garantías, S.A.</t>
  </si>
  <si>
    <t>Sofimex, Institución de Garantías, S.A.</t>
  </si>
  <si>
    <t>Resultado Op. Analogas y C.</t>
  </si>
  <si>
    <t>Total</t>
  </si>
  <si>
    <t>Año</t>
  </si>
  <si>
    <t>ADMINISTRATIVAS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</si>
</sst>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;\(#,##0\)"/>
    <numFmt numFmtId="165" formatCode="#,##0.0;\(#,##0.0\)"/>
    <numFmt numFmtId="166" formatCode="#,##0.00;\(#,##0.00\)"/>
    <numFmt numFmtId="167" formatCode="#,##0.000000;\(#,##0.000000\)"/>
  </numFmts>
  <fonts count="18" x14ac:knownFonts="1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3" tint="-0.49998474074526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C00000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0">
    <xf numFmtId="0" fontId="0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43" fontId="9" fillId="0" borderId="0" applyFont="0" applyFill="0" applyBorder="0" applyAlignment="0" applyProtection="0"/>
  </cellStyleXfs>
  <cellXfs count="121">
    <xf numFmtId="0" fontId="0" fillId="0" borderId="0" xfId="0"/>
    <xf numFmtId="0" fontId="8" fillId="0" borderId="0" xfId="0" applyFont="1"/>
    <xf numFmtId="3" fontId="8" fillId="0" borderId="0" xfId="0" applyNumberFormat="1" applyFont="1"/>
    <xf numFmtId="3" fontId="10" fillId="4" borderId="20" xfId="0" applyNumberFormat="1" applyFont="1" applyFill="1" applyBorder="1" applyAlignment="1">
      <alignment horizontal="center"/>
    </xf>
    <xf numFmtId="0" fontId="8" fillId="4" borderId="2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3" borderId="0" xfId="0" applyFont="1" applyFill="1"/>
    <xf numFmtId="0" fontId="8" fillId="3" borderId="0" xfId="0" applyFont="1" applyFill="1"/>
    <xf numFmtId="0" fontId="8" fillId="3" borderId="0" xfId="0" applyFont="1" applyFill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>
      <alignment horizontal="center"/>
    </xf>
    <xf numFmtId="49" fontId="8" fillId="0" borderId="13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 applyProtection="1">
      <alignment horizontal="center"/>
      <protection locked="0"/>
    </xf>
    <xf numFmtId="49" fontId="11" fillId="0" borderId="14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 applyProtection="1">
      <alignment horizontal="center"/>
      <protection locked="0"/>
    </xf>
    <xf numFmtId="49" fontId="8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/>
    </xf>
    <xf numFmtId="49" fontId="8" fillId="0" borderId="0" xfId="0" quotePrefix="1" applyNumberFormat="1" applyFont="1" applyAlignment="1" applyProtection="1">
      <alignment horizontal="center"/>
      <protection locked="0"/>
    </xf>
    <xf numFmtId="0" fontId="5" fillId="0" borderId="18" xfId="0" applyFont="1" applyBorder="1" applyAlignment="1" applyProtection="1">
      <alignment horizontal="center"/>
      <protection locked="0"/>
    </xf>
    <xf numFmtId="0" fontId="5" fillId="0" borderId="18" xfId="0" applyFont="1" applyBorder="1" applyProtection="1">
      <protection locked="0"/>
    </xf>
    <xf numFmtId="164" fontId="5" fillId="0" borderId="18" xfId="0" applyNumberFormat="1" applyFont="1" applyBorder="1" applyAlignment="1" applyProtection="1">
      <alignment horizontal="right"/>
      <protection locked="0"/>
    </xf>
    <xf numFmtId="165" fontId="5" fillId="0" borderId="18" xfId="0" applyNumberFormat="1" applyFont="1" applyBorder="1" applyAlignment="1" applyProtection="1">
      <alignment horizontal="right"/>
      <protection locked="0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/>
    <xf numFmtId="165" fontId="5" fillId="0" borderId="0" xfId="0" applyNumberFormat="1" applyFont="1"/>
    <xf numFmtId="0" fontId="5" fillId="0" borderId="18" xfId="0" applyFont="1" applyBorder="1" applyAlignment="1">
      <alignment horizontal="center"/>
    </xf>
    <xf numFmtId="0" fontId="13" fillId="0" borderId="0" xfId="0" applyFont="1"/>
    <xf numFmtId="165" fontId="13" fillId="0" borderId="0" xfId="0" applyNumberFormat="1" applyFont="1"/>
    <xf numFmtId="0" fontId="14" fillId="0" borderId="0" xfId="0" applyFont="1"/>
    <xf numFmtId="0" fontId="5" fillId="0" borderId="0" xfId="0" applyFont="1" applyAlignment="1">
      <alignment horizontal="center"/>
    </xf>
    <xf numFmtId="0" fontId="11" fillId="4" borderId="19" xfId="0" applyFont="1" applyFill="1" applyBorder="1" applyAlignment="1">
      <alignment vertical="center"/>
    </xf>
    <xf numFmtId="0" fontId="11" fillId="4" borderId="21" xfId="0" applyFont="1" applyFill="1" applyBorder="1" applyAlignment="1">
      <alignment horizontal="right" vertical="center"/>
    </xf>
    <xf numFmtId="166" fontId="5" fillId="0" borderId="18" xfId="0" applyNumberFormat="1" applyFont="1" applyBorder="1" applyAlignment="1" applyProtection="1">
      <alignment horizontal="right"/>
      <protection locked="0"/>
    </xf>
    <xf numFmtId="167" fontId="5" fillId="0" borderId="18" xfId="0" applyNumberFormat="1" applyFont="1" applyBorder="1" applyAlignment="1" applyProtection="1">
      <alignment horizontal="right"/>
      <protection locked="0"/>
    </xf>
    <xf numFmtId="0" fontId="5" fillId="0" borderId="18" xfId="0" applyFont="1" applyBorder="1"/>
    <xf numFmtId="3" fontId="5" fillId="0" borderId="0" xfId="0" applyNumberFormat="1" applyFont="1"/>
    <xf numFmtId="0" fontId="15" fillId="3" borderId="0" xfId="0" applyFont="1" applyFill="1" applyAlignment="1">
      <alignment horizontal="center"/>
    </xf>
    <xf numFmtId="0" fontId="15" fillId="3" borderId="0" xfId="1" applyFont="1" applyFill="1"/>
    <xf numFmtId="0" fontId="8" fillId="0" borderId="0" xfId="0" applyFont="1" applyAlignment="1">
      <alignment horizontal="right"/>
    </xf>
    <xf numFmtId="0" fontId="8" fillId="3" borderId="4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49" fontId="8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right"/>
    </xf>
    <xf numFmtId="16" fontId="15" fillId="0" borderId="0" xfId="0" applyNumberFormat="1" applyFont="1" applyAlignment="1">
      <alignment horizontal="left"/>
    </xf>
    <xf numFmtId="164" fontId="15" fillId="0" borderId="0" xfId="0" applyNumberFormat="1" applyFont="1" applyAlignment="1">
      <alignment horizontal="center"/>
    </xf>
    <xf numFmtId="0" fontId="16" fillId="0" borderId="18" xfId="0" applyFont="1" applyBorder="1" applyProtection="1">
      <protection locked="0"/>
    </xf>
    <xf numFmtId="164" fontId="16" fillId="0" borderId="18" xfId="0" applyNumberFormat="1" applyFont="1" applyBorder="1" applyAlignment="1" applyProtection="1">
      <alignment horizontal="right"/>
      <protection locked="0"/>
    </xf>
    <xf numFmtId="165" fontId="16" fillId="0" borderId="18" xfId="0" applyNumberFormat="1" applyFont="1" applyBorder="1" applyAlignment="1" applyProtection="1">
      <alignment horizontal="right"/>
      <protection locked="0"/>
    </xf>
    <xf numFmtId="3" fontId="15" fillId="0" borderId="0" xfId="0" quotePrefix="1" applyNumberFormat="1" applyFont="1" applyAlignment="1">
      <alignment horizontal="right"/>
    </xf>
    <xf numFmtId="0" fontId="15" fillId="0" borderId="0" xfId="0" applyFont="1"/>
    <xf numFmtId="164" fontId="5" fillId="0" borderId="0" xfId="0" applyNumberFormat="1" applyFont="1" applyAlignment="1">
      <alignment horizontal="left"/>
    </xf>
    <xf numFmtId="0" fontId="8" fillId="4" borderId="20" xfId="0" applyFont="1" applyFill="1" applyBorder="1"/>
    <xf numFmtId="0" fontId="12" fillId="0" borderId="0" xfId="0" applyFont="1" applyAlignment="1">
      <alignment horizontal="right"/>
    </xf>
    <xf numFmtId="43" fontId="5" fillId="4" borderId="0" xfId="9" applyFont="1" applyFill="1"/>
    <xf numFmtId="0" fontId="8" fillId="0" borderId="17" xfId="0" applyFont="1" applyBorder="1" applyAlignment="1">
      <alignment horizontal="center"/>
    </xf>
    <xf numFmtId="0" fontId="8" fillId="0" borderId="23" xfId="0" applyFont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center"/>
      <protection locked="0"/>
    </xf>
    <xf numFmtId="49" fontId="11" fillId="0" borderId="10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5" fillId="4" borderId="0" xfId="0" applyNumberFormat="1" applyFont="1" applyFill="1"/>
    <xf numFmtId="0" fontId="5" fillId="4" borderId="0" xfId="0" applyFont="1" applyFill="1"/>
    <xf numFmtId="0" fontId="5" fillId="2" borderId="0" xfId="0" applyFont="1" applyFill="1"/>
    <xf numFmtId="0" fontId="8" fillId="2" borderId="0" xfId="0" applyFont="1" applyFill="1" applyAlignment="1">
      <alignment horizontal="right"/>
    </xf>
    <xf numFmtId="0" fontId="8" fillId="2" borderId="0" xfId="0" applyFont="1" applyFill="1"/>
    <xf numFmtId="0" fontId="8" fillId="0" borderId="14" xfId="0" applyFont="1" applyBorder="1" applyAlignment="1" applyProtection="1">
      <alignment horizontal="center"/>
      <protection locked="0"/>
    </xf>
    <xf numFmtId="0" fontId="8" fillId="0" borderId="12" xfId="0" applyFont="1" applyBorder="1" applyAlignment="1" applyProtection="1">
      <alignment horizontal="center"/>
      <protection locked="0"/>
    </xf>
    <xf numFmtId="49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0" xfId="0" applyFont="1"/>
    <xf numFmtId="0" fontId="8" fillId="0" borderId="5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11" fillId="3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49" fontId="8" fillId="0" borderId="14" xfId="0" applyNumberFormat="1" applyFont="1" applyBorder="1" applyAlignment="1" applyProtection="1">
      <alignment horizontal="center"/>
      <protection locked="0"/>
    </xf>
    <xf numFmtId="49" fontId="11" fillId="0" borderId="11" xfId="0" applyNumberFormat="1" applyFont="1" applyBorder="1" applyAlignment="1" applyProtection="1">
      <alignment horizontal="center"/>
      <protection locked="0"/>
    </xf>
    <xf numFmtId="49" fontId="11" fillId="0" borderId="12" xfId="0" applyNumberFormat="1" applyFont="1" applyBorder="1" applyAlignment="1" applyProtection="1">
      <alignment horizontal="center"/>
      <protection locked="0"/>
    </xf>
    <xf numFmtId="49" fontId="8" fillId="0" borderId="14" xfId="0" quotePrefix="1" applyNumberFormat="1" applyFont="1" applyBorder="1" applyAlignment="1" applyProtection="1">
      <alignment horizontal="center"/>
      <protection locked="0"/>
    </xf>
    <xf numFmtId="0" fontId="8" fillId="0" borderId="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49" fontId="8" fillId="0" borderId="11" xfId="0" applyNumberFormat="1" applyFont="1" applyBorder="1" applyAlignment="1" applyProtection="1">
      <alignment horizontal="center"/>
      <protection locked="0"/>
    </xf>
    <xf numFmtId="49" fontId="8" fillId="0" borderId="12" xfId="0" applyNumberFormat="1" applyFont="1" applyBorder="1" applyAlignment="1" applyProtection="1">
      <alignment horizontal="center"/>
      <protection locked="0"/>
    </xf>
    <xf numFmtId="0" fontId="8" fillId="3" borderId="5" xfId="0" applyFont="1" applyFill="1" applyBorder="1" applyAlignment="1" applyProtection="1">
      <alignment horizontal="center"/>
      <protection locked="0"/>
    </xf>
    <xf numFmtId="0" fontId="8" fillId="3" borderId="7" xfId="0" applyFont="1" applyFill="1" applyBorder="1" applyAlignment="1" applyProtection="1">
      <alignment horizontal="center"/>
      <protection locked="0"/>
    </xf>
    <xf numFmtId="0" fontId="8" fillId="0" borderId="8" xfId="0" applyFont="1" applyBorder="1" applyAlignment="1">
      <alignment horizontal="center" vertical="center" wrapText="1"/>
    </xf>
    <xf numFmtId="0" fontId="11" fillId="0" borderId="11" xfId="0" applyFont="1" applyBorder="1" applyAlignment="1" applyProtection="1">
      <alignment horizontal="center"/>
      <protection locked="0"/>
    </xf>
    <xf numFmtId="0" fontId="11" fillId="0" borderId="12" xfId="0" applyFont="1" applyBorder="1" applyAlignment="1" applyProtection="1">
      <alignment horizontal="center"/>
      <protection locked="0"/>
    </xf>
    <xf numFmtId="0" fontId="11" fillId="0" borderId="22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6" xfId="0" applyFont="1" applyBorder="1" applyAlignment="1" applyProtection="1">
      <alignment horizontal="center"/>
      <protection locked="0"/>
    </xf>
    <xf numFmtId="0" fontId="11" fillId="2" borderId="0" xfId="0" applyFont="1" applyFill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</cellXfs>
  <cellStyles count="10">
    <cellStyle name="Millares" xfId="9" builtinId="3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6A5287AA-3AF8-43F6-9033-042C80BC7FF6}"/>
    <cellStyle name="Normal 7" xfId="6" xr:uid="{5EF3AE3E-A96A-4DB6-A30E-0447F0AEB8B6}"/>
    <cellStyle name="Normal 8" xfId="7" xr:uid="{6475B426-E269-48C3-B501-E8C08BB8B927}"/>
    <cellStyle name="Normal 9" xfId="8" xr:uid="{D0D9CAEB-0339-4285-A6F5-0C1E16934F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130969</xdr:colOff>
      <xdr:row>0</xdr:row>
      <xdr:rowOff>119062</xdr:rowOff>
    </xdr:from>
    <xdr:to>
      <xdr:col>1</xdr:col>
      <xdr:colOff>866</xdr:colOff>
      <xdr:row>4</xdr:row>
      <xdr:rowOff>80269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01E9E587-D92B-4C75-9EBD-4EFF3C0B0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9" y="119062"/>
          <a:ext cx="810491" cy="6279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805729</xdr:colOff>
      <xdr:row>3</xdr:row>
      <xdr:rowOff>142182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7E480BCC-0467-4B68-8FCF-53E46D2A1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10491" cy="6279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158029</xdr:colOff>
      <xdr:row>3</xdr:row>
      <xdr:rowOff>156470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ACC2600C-54CA-4C74-8266-1A1D1F40C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5729" cy="642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205654</xdr:colOff>
      <xdr:row>4</xdr:row>
      <xdr:rowOff>8833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A4DC5E30-F033-4056-A994-A192AE9A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0967" cy="656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XFD1048571"/>
  <sheetViews>
    <sheetView showGridLines="0" zoomScale="80" zoomScaleNormal="80" workbookViewId="0">
      <pane ySplit="14" topLeftCell="A15" activePane="bottomLeft" state="frozen"/>
      <selection activeCell="L98" sqref="L98"/>
      <selection pane="bottomLeft" activeCell="B15" sqref="B15:B31"/>
    </sheetView>
  </sheetViews>
  <sheetFormatPr baseColWidth="10" defaultColWidth="12" defaultRowHeight="12.5" x14ac:dyDescent="0.25"/>
  <cols>
    <col min="1" max="1" width="16.44140625" style="37" customWidth="1"/>
    <col min="2" max="2" width="60.77734375" style="6" bestFit="1" customWidth="1"/>
    <col min="3" max="4" width="14" style="31" bestFit="1" customWidth="1"/>
    <col min="5" max="5" width="13.109375" style="31" bestFit="1" customWidth="1"/>
    <col min="6" max="6" width="8.6640625" style="31" bestFit="1" customWidth="1"/>
    <col min="7" max="7" width="11.44140625" style="31" bestFit="1" customWidth="1"/>
    <col min="8" max="8" width="17.44140625" style="31" bestFit="1" customWidth="1"/>
    <col min="9" max="9" width="15.77734375" style="31" customWidth="1"/>
    <col min="10" max="10" width="12.6640625" style="31" bestFit="1" customWidth="1"/>
    <col min="11" max="12" width="7" style="31" bestFit="1" customWidth="1"/>
    <col min="13" max="13" width="14" style="31" bestFit="1" customWidth="1"/>
    <col min="14" max="14" width="8.6640625" style="31" bestFit="1" customWidth="1"/>
    <col min="15" max="15" width="7.44140625" style="31" bestFit="1" customWidth="1"/>
    <col min="16" max="16" width="13.109375" style="31" bestFit="1" customWidth="1"/>
    <col min="17" max="17" width="8.6640625" style="31" bestFit="1" customWidth="1"/>
    <col min="18" max="18" width="17.77734375" style="31" customWidth="1"/>
    <col min="19" max="19" width="14" style="31" bestFit="1" customWidth="1"/>
    <col min="20" max="20" width="8.6640625" style="31" bestFit="1" customWidth="1"/>
    <col min="21" max="21" width="10.77734375" style="31" customWidth="1"/>
    <col min="22" max="16384" width="12" style="6"/>
  </cols>
  <sheetData>
    <row r="6" spans="1:28" s="5" customFormat="1" ht="28.5" customHeight="1" x14ac:dyDescent="0.3">
      <c r="A6" s="38" t="s">
        <v>60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4"/>
      <c r="R6" s="4"/>
      <c r="S6" s="4"/>
      <c r="T6" s="4"/>
      <c r="U6" s="39" t="s">
        <v>61</v>
      </c>
    </row>
    <row r="7" spans="1:28" ht="13" x14ac:dyDescent="0.3">
      <c r="A7" s="80" t="s">
        <v>0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</row>
    <row r="8" spans="1:28" ht="13" x14ac:dyDescent="0.3">
      <c r="A8" s="80" t="s">
        <v>82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</row>
    <row r="9" spans="1:28" ht="13" thickBo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8"/>
      <c r="Q9" s="8"/>
      <c r="R9" s="7"/>
      <c r="S9" s="7"/>
      <c r="T9" s="7"/>
      <c r="U9" s="9" t="s">
        <v>1</v>
      </c>
    </row>
    <row r="10" spans="1:28" s="1" customFormat="1" ht="13.5" thickBot="1" x14ac:dyDescent="0.35">
      <c r="A10" s="81" t="s">
        <v>2</v>
      </c>
      <c r="B10" s="81" t="s">
        <v>3</v>
      </c>
      <c r="C10" s="84" t="s">
        <v>4</v>
      </c>
      <c r="D10" s="84"/>
      <c r="E10" s="84"/>
      <c r="F10" s="85"/>
      <c r="G10" s="86" t="s">
        <v>5</v>
      </c>
      <c r="H10" s="84"/>
      <c r="I10" s="85"/>
      <c r="J10" s="86" t="s">
        <v>6</v>
      </c>
      <c r="K10" s="84"/>
      <c r="L10" s="85"/>
      <c r="M10" s="86" t="s">
        <v>7</v>
      </c>
      <c r="N10" s="84"/>
      <c r="O10" s="85"/>
      <c r="P10" s="86" t="s">
        <v>8</v>
      </c>
      <c r="Q10" s="84"/>
      <c r="R10" s="85"/>
      <c r="S10" s="87" t="s">
        <v>9</v>
      </c>
      <c r="T10" s="88"/>
      <c r="U10" s="89"/>
    </row>
    <row r="11" spans="1:28" s="1" customFormat="1" ht="13" thickBot="1" x14ac:dyDescent="0.3">
      <c r="A11" s="82"/>
      <c r="B11" s="82"/>
      <c r="C11" s="90" t="s">
        <v>10</v>
      </c>
      <c r="D11" s="91"/>
      <c r="E11" s="91" t="s">
        <v>11</v>
      </c>
      <c r="F11" s="91"/>
      <c r="G11" s="92" t="s">
        <v>10</v>
      </c>
      <c r="H11" s="78" t="s">
        <v>12</v>
      </c>
      <c r="I11" s="79"/>
      <c r="J11" s="92" t="s">
        <v>10</v>
      </c>
      <c r="K11" s="78" t="s">
        <v>12</v>
      </c>
      <c r="L11" s="79"/>
      <c r="M11" s="92" t="s">
        <v>10</v>
      </c>
      <c r="N11" s="78" t="s">
        <v>12</v>
      </c>
      <c r="O11" s="79"/>
      <c r="P11" s="92" t="s">
        <v>10</v>
      </c>
      <c r="Q11" s="78" t="s">
        <v>12</v>
      </c>
      <c r="R11" s="79"/>
      <c r="S11" s="92" t="s">
        <v>10</v>
      </c>
      <c r="T11" s="78" t="s">
        <v>12</v>
      </c>
      <c r="U11" s="79"/>
    </row>
    <row r="12" spans="1:28" s="1" customFormat="1" ht="13" thickBot="1" x14ac:dyDescent="0.3">
      <c r="A12" s="82"/>
      <c r="B12" s="82"/>
      <c r="C12" s="13">
        <f>+B35</f>
        <v>2023</v>
      </c>
      <c r="D12" s="13">
        <f>+C12-1</f>
        <v>2022</v>
      </c>
      <c r="E12" s="14"/>
      <c r="F12" s="15"/>
      <c r="G12" s="93"/>
      <c r="H12" s="13">
        <f>+B35</f>
        <v>2023</v>
      </c>
      <c r="I12" s="13">
        <f>+H12-1</f>
        <v>2022</v>
      </c>
      <c r="J12" s="93"/>
      <c r="K12" s="13">
        <f>+B35</f>
        <v>2023</v>
      </c>
      <c r="L12" s="13">
        <f>+K12-1</f>
        <v>2022</v>
      </c>
      <c r="M12" s="93"/>
      <c r="N12" s="13">
        <f>+B35</f>
        <v>2023</v>
      </c>
      <c r="O12" s="13">
        <f>+N12-1</f>
        <v>2022</v>
      </c>
      <c r="P12" s="93"/>
      <c r="Q12" s="13">
        <f>+B35</f>
        <v>2023</v>
      </c>
      <c r="R12" s="13">
        <f>+Q12-1</f>
        <v>2022</v>
      </c>
      <c r="S12" s="93"/>
      <c r="T12" s="13">
        <f>+B35</f>
        <v>2023</v>
      </c>
      <c r="U12" s="13">
        <v>2022</v>
      </c>
    </row>
    <row r="13" spans="1:28" s="1" customFormat="1" ht="13" x14ac:dyDescent="0.3">
      <c r="A13" s="83"/>
      <c r="B13" s="83"/>
      <c r="C13" s="95">
        <v>1</v>
      </c>
      <c r="D13" s="96"/>
      <c r="E13" s="17" t="s">
        <v>10</v>
      </c>
      <c r="F13" s="18" t="s">
        <v>12</v>
      </c>
      <c r="G13" s="19">
        <v>2</v>
      </c>
      <c r="H13" s="97" t="s">
        <v>13</v>
      </c>
      <c r="I13" s="94"/>
      <c r="J13" s="20">
        <v>3</v>
      </c>
      <c r="K13" s="94" t="s">
        <v>14</v>
      </c>
      <c r="L13" s="94"/>
      <c r="M13" s="20">
        <v>4</v>
      </c>
      <c r="N13" s="94" t="s">
        <v>15</v>
      </c>
      <c r="O13" s="94"/>
      <c r="P13" s="20">
        <v>5</v>
      </c>
      <c r="Q13" s="94" t="s">
        <v>16</v>
      </c>
      <c r="R13" s="94"/>
      <c r="S13" s="20">
        <v>6</v>
      </c>
      <c r="T13" s="94" t="s">
        <v>17</v>
      </c>
      <c r="U13" s="94"/>
    </row>
    <row r="14" spans="1:28" s="1" customFormat="1" ht="7" customHeight="1" x14ac:dyDescent="0.3">
      <c r="A14" s="21"/>
      <c r="B14" s="21"/>
      <c r="C14" s="22"/>
      <c r="D14" s="22"/>
      <c r="E14" s="23"/>
      <c r="F14" s="22"/>
      <c r="G14" s="24"/>
      <c r="H14" s="25"/>
      <c r="I14" s="22"/>
      <c r="J14" s="24"/>
      <c r="K14" s="22"/>
      <c r="L14" s="22"/>
      <c r="M14" s="24"/>
      <c r="N14" s="22"/>
      <c r="O14" s="22"/>
    </row>
    <row r="15" spans="1:28" ht="13" customHeight="1" x14ac:dyDescent="0.25">
      <c r="A15" s="26">
        <v>1</v>
      </c>
      <c r="B15" s="27" t="s">
        <v>62</v>
      </c>
      <c r="C15" s="28"/>
      <c r="D15" s="28"/>
      <c r="E15" s="28">
        <f>+C15-D15</f>
        <v>0</v>
      </c>
      <c r="F15" s="29">
        <f>+IFERROR(E15/D15*100,0)</f>
        <v>0</v>
      </c>
      <c r="G15" s="28"/>
      <c r="H15" s="40">
        <f>+IFERROR(G15/C15*100,0)</f>
        <v>0</v>
      </c>
      <c r="I15" s="41"/>
      <c r="J15" s="28"/>
      <c r="K15" s="29">
        <f>+IFERROR(J15/C15*100,0)</f>
        <v>0</v>
      </c>
      <c r="L15" s="29"/>
      <c r="M15" s="28"/>
      <c r="N15" s="29">
        <f>+IFERROR(M15/C15*100,0)</f>
        <v>0</v>
      </c>
      <c r="O15" s="29"/>
      <c r="P15" s="28"/>
      <c r="Q15" s="29">
        <f>+IFERROR(P15/M15*100,0)</f>
        <v>0</v>
      </c>
      <c r="R15" s="29"/>
      <c r="S15" s="28"/>
      <c r="T15" s="29">
        <f>+IFERROR(S15/M15*100,0)</f>
        <v>0</v>
      </c>
      <c r="U15" s="29"/>
      <c r="V15" s="30"/>
      <c r="W15" s="31"/>
      <c r="X15" s="31"/>
      <c r="Y15" s="31"/>
      <c r="Z15" s="32"/>
      <c r="AA15" s="32"/>
      <c r="AB15" s="32"/>
    </row>
    <row r="16" spans="1:28" ht="13" customHeight="1" x14ac:dyDescent="0.25">
      <c r="A16" s="26">
        <v>2</v>
      </c>
      <c r="B16" s="27" t="s">
        <v>66</v>
      </c>
      <c r="C16" s="28"/>
      <c r="D16" s="28"/>
      <c r="E16" s="28">
        <f t="shared" ref="E16:E29" si="0">+C16-D16</f>
        <v>0</v>
      </c>
      <c r="F16" s="29">
        <f t="shared" ref="F16:F29" si="1">+IFERROR(E16/D16*100,0)</f>
        <v>0</v>
      </c>
      <c r="G16" s="28"/>
      <c r="H16" s="40">
        <f t="shared" ref="H16:H29" si="2">+IFERROR(G16/C16*100,0)</f>
        <v>0</v>
      </c>
      <c r="I16" s="29"/>
      <c r="J16" s="28"/>
      <c r="K16" s="29">
        <f t="shared" ref="K16:K29" si="3">+IFERROR(J16/C16*100,0)</f>
        <v>0</v>
      </c>
      <c r="L16" s="29"/>
      <c r="M16" s="28"/>
      <c r="N16" s="29">
        <f t="shared" ref="N16:N29" si="4">+IFERROR(M16/C16*100,0)</f>
        <v>0</v>
      </c>
      <c r="O16" s="29"/>
      <c r="P16" s="28"/>
      <c r="Q16" s="29">
        <f t="shared" ref="Q16:Q29" si="5">+IFERROR(P16/M16*100,0)</f>
        <v>0</v>
      </c>
      <c r="R16" s="29"/>
      <c r="S16" s="28"/>
      <c r="T16" s="29">
        <f t="shared" ref="T16:T29" si="6">+IFERROR(S16/M16*100,0)</f>
        <v>0</v>
      </c>
      <c r="U16" s="29"/>
      <c r="V16" s="30"/>
      <c r="W16" s="31"/>
      <c r="X16" s="31"/>
      <c r="Y16" s="31"/>
      <c r="Z16" s="32"/>
      <c r="AA16" s="32"/>
      <c r="AB16" s="32"/>
    </row>
    <row r="17" spans="1:28" ht="13" customHeight="1" x14ac:dyDescent="0.25">
      <c r="A17" s="26">
        <v>3</v>
      </c>
      <c r="B17" s="27" t="s">
        <v>64</v>
      </c>
      <c r="C17" s="28"/>
      <c r="D17" s="28"/>
      <c r="E17" s="28">
        <f t="shared" si="0"/>
        <v>0</v>
      </c>
      <c r="F17" s="29">
        <f t="shared" si="1"/>
        <v>0</v>
      </c>
      <c r="G17" s="28"/>
      <c r="H17" s="40">
        <f t="shared" si="2"/>
        <v>0</v>
      </c>
      <c r="I17" s="29"/>
      <c r="J17" s="28"/>
      <c r="K17" s="29">
        <f t="shared" si="3"/>
        <v>0</v>
      </c>
      <c r="L17" s="29"/>
      <c r="M17" s="28"/>
      <c r="N17" s="29">
        <f t="shared" si="4"/>
        <v>0</v>
      </c>
      <c r="O17" s="29"/>
      <c r="P17" s="28"/>
      <c r="Q17" s="29">
        <f t="shared" si="5"/>
        <v>0</v>
      </c>
      <c r="R17" s="29"/>
      <c r="S17" s="28"/>
      <c r="T17" s="29">
        <f t="shared" si="6"/>
        <v>0</v>
      </c>
      <c r="U17" s="29"/>
      <c r="V17" s="30"/>
      <c r="W17" s="31"/>
      <c r="X17" s="31"/>
      <c r="Y17" s="31"/>
      <c r="Z17" s="32"/>
      <c r="AA17" s="32"/>
      <c r="AB17" s="32"/>
    </row>
    <row r="18" spans="1:28" ht="13" customHeight="1" x14ac:dyDescent="0.25">
      <c r="A18" s="26">
        <v>4</v>
      </c>
      <c r="B18" s="27" t="s">
        <v>65</v>
      </c>
      <c r="C18" s="28"/>
      <c r="D18" s="28"/>
      <c r="E18" s="28">
        <f t="shared" si="0"/>
        <v>0</v>
      </c>
      <c r="F18" s="29">
        <f t="shared" si="1"/>
        <v>0</v>
      </c>
      <c r="G18" s="28"/>
      <c r="H18" s="40">
        <f t="shared" si="2"/>
        <v>0</v>
      </c>
      <c r="I18" s="29"/>
      <c r="J18" s="28"/>
      <c r="K18" s="29">
        <f t="shared" si="3"/>
        <v>0</v>
      </c>
      <c r="L18" s="29"/>
      <c r="M18" s="28"/>
      <c r="N18" s="29">
        <f t="shared" si="4"/>
        <v>0</v>
      </c>
      <c r="O18" s="29"/>
      <c r="P18" s="28"/>
      <c r="Q18" s="29">
        <f t="shared" si="5"/>
        <v>0</v>
      </c>
      <c r="R18" s="29"/>
      <c r="S18" s="28"/>
      <c r="T18" s="29">
        <f t="shared" si="6"/>
        <v>0</v>
      </c>
      <c r="U18" s="29"/>
      <c r="V18" s="30"/>
      <c r="W18" s="31"/>
      <c r="X18" s="31"/>
      <c r="Y18" s="31"/>
      <c r="Z18" s="32"/>
      <c r="AA18" s="32"/>
      <c r="AB18" s="32"/>
    </row>
    <row r="19" spans="1:28" s="34" customFormat="1" ht="13" customHeight="1" x14ac:dyDescent="0.25">
      <c r="A19" s="26">
        <f>+A18+1</f>
        <v>5</v>
      </c>
      <c r="B19" s="27" t="s">
        <v>63</v>
      </c>
      <c r="C19" s="28"/>
      <c r="D19" s="28"/>
      <c r="E19" s="28">
        <f t="shared" si="0"/>
        <v>0</v>
      </c>
      <c r="F19" s="29">
        <f t="shared" si="1"/>
        <v>0</v>
      </c>
      <c r="G19" s="28"/>
      <c r="H19" s="40">
        <f t="shared" si="2"/>
        <v>0</v>
      </c>
      <c r="I19" s="29"/>
      <c r="J19" s="28"/>
      <c r="K19" s="29">
        <f t="shared" si="3"/>
        <v>0</v>
      </c>
      <c r="L19" s="29"/>
      <c r="M19" s="28"/>
      <c r="N19" s="29">
        <f t="shared" si="4"/>
        <v>0</v>
      </c>
      <c r="O19" s="29"/>
      <c r="P19" s="28"/>
      <c r="Q19" s="29">
        <f t="shared" si="5"/>
        <v>0</v>
      </c>
      <c r="R19" s="29"/>
      <c r="S19" s="28"/>
      <c r="T19" s="29">
        <f t="shared" si="6"/>
        <v>0</v>
      </c>
      <c r="U19" s="29"/>
      <c r="V19" s="35"/>
      <c r="W19" s="35"/>
      <c r="X19" s="35"/>
      <c r="Y19" s="35"/>
      <c r="Z19" s="35"/>
      <c r="AA19" s="35"/>
      <c r="AB19" s="35"/>
    </row>
    <row r="20" spans="1:28" s="34" customFormat="1" ht="13" customHeight="1" x14ac:dyDescent="0.25">
      <c r="A20" s="26">
        <f t="shared" ref="A20:A29" si="7">+A19+1</f>
        <v>6</v>
      </c>
      <c r="B20" s="27" t="s">
        <v>67</v>
      </c>
      <c r="C20" s="28"/>
      <c r="D20" s="28"/>
      <c r="E20" s="28">
        <f t="shared" si="0"/>
        <v>0</v>
      </c>
      <c r="F20" s="29">
        <f t="shared" si="1"/>
        <v>0</v>
      </c>
      <c r="G20" s="28"/>
      <c r="H20" s="40">
        <f t="shared" si="2"/>
        <v>0</v>
      </c>
      <c r="I20" s="29"/>
      <c r="J20" s="28"/>
      <c r="K20" s="29">
        <f t="shared" si="3"/>
        <v>0</v>
      </c>
      <c r="L20" s="29"/>
      <c r="M20" s="28"/>
      <c r="N20" s="29">
        <f t="shared" si="4"/>
        <v>0</v>
      </c>
      <c r="O20" s="29"/>
      <c r="P20" s="28"/>
      <c r="Q20" s="29">
        <f t="shared" si="5"/>
        <v>0</v>
      </c>
      <c r="R20" s="29"/>
      <c r="S20" s="28"/>
      <c r="T20" s="29">
        <f t="shared" si="6"/>
        <v>0</v>
      </c>
      <c r="U20" s="29"/>
      <c r="V20" s="35"/>
      <c r="W20" s="35"/>
      <c r="X20" s="35"/>
      <c r="Y20" s="35"/>
      <c r="Z20" s="35"/>
      <c r="AA20" s="35"/>
      <c r="AB20" s="35"/>
    </row>
    <row r="21" spans="1:28" x14ac:dyDescent="0.25">
      <c r="A21" s="26">
        <f t="shared" si="7"/>
        <v>7</v>
      </c>
      <c r="B21" s="27" t="s">
        <v>68</v>
      </c>
      <c r="C21" s="28"/>
      <c r="D21" s="28"/>
      <c r="E21" s="28">
        <f t="shared" si="0"/>
        <v>0</v>
      </c>
      <c r="F21" s="29">
        <f t="shared" si="1"/>
        <v>0</v>
      </c>
      <c r="G21" s="28"/>
      <c r="H21" s="40">
        <f t="shared" si="2"/>
        <v>0</v>
      </c>
      <c r="I21" s="29"/>
      <c r="J21" s="28"/>
      <c r="K21" s="29">
        <f t="shared" si="3"/>
        <v>0</v>
      </c>
      <c r="L21" s="29"/>
      <c r="M21" s="28"/>
      <c r="N21" s="29">
        <f t="shared" si="4"/>
        <v>0</v>
      </c>
      <c r="O21" s="29"/>
      <c r="P21" s="28"/>
      <c r="Q21" s="29">
        <f t="shared" si="5"/>
        <v>0</v>
      </c>
      <c r="R21" s="29"/>
      <c r="S21" s="28"/>
      <c r="T21" s="29">
        <f t="shared" si="6"/>
        <v>0</v>
      </c>
      <c r="U21" s="29"/>
    </row>
    <row r="22" spans="1:28" s="36" customFormat="1" ht="13" x14ac:dyDescent="0.3">
      <c r="A22" s="26">
        <f t="shared" si="7"/>
        <v>8</v>
      </c>
      <c r="B22" s="27" t="s">
        <v>69</v>
      </c>
      <c r="C22" s="28"/>
      <c r="D22" s="28"/>
      <c r="E22" s="28">
        <f t="shared" si="0"/>
        <v>0</v>
      </c>
      <c r="F22" s="29">
        <f t="shared" si="1"/>
        <v>0</v>
      </c>
      <c r="G22" s="28"/>
      <c r="H22" s="40">
        <f t="shared" si="2"/>
        <v>0</v>
      </c>
      <c r="I22" s="29"/>
      <c r="J22" s="28"/>
      <c r="K22" s="29">
        <f t="shared" si="3"/>
        <v>0</v>
      </c>
      <c r="L22" s="29"/>
      <c r="M22" s="28"/>
      <c r="N22" s="29">
        <f t="shared" si="4"/>
        <v>0</v>
      </c>
      <c r="O22" s="29"/>
      <c r="P22" s="28"/>
      <c r="Q22" s="29">
        <f t="shared" si="5"/>
        <v>0</v>
      </c>
      <c r="R22" s="29"/>
      <c r="S22" s="28"/>
      <c r="T22" s="29">
        <f t="shared" si="6"/>
        <v>0</v>
      </c>
      <c r="U22" s="29"/>
    </row>
    <row r="23" spans="1:28" x14ac:dyDescent="0.25">
      <c r="A23" s="26">
        <f t="shared" si="7"/>
        <v>9</v>
      </c>
      <c r="B23" s="27" t="s">
        <v>70</v>
      </c>
      <c r="C23" s="28"/>
      <c r="D23" s="28"/>
      <c r="E23" s="28">
        <f t="shared" si="0"/>
        <v>0</v>
      </c>
      <c r="F23" s="29">
        <f t="shared" si="1"/>
        <v>0</v>
      </c>
      <c r="G23" s="28"/>
      <c r="H23" s="40">
        <f t="shared" si="2"/>
        <v>0</v>
      </c>
      <c r="I23" s="29"/>
      <c r="J23" s="28"/>
      <c r="K23" s="29">
        <f t="shared" si="3"/>
        <v>0</v>
      </c>
      <c r="L23" s="29"/>
      <c r="M23" s="28"/>
      <c r="N23" s="29">
        <f t="shared" si="4"/>
        <v>0</v>
      </c>
      <c r="O23" s="29"/>
      <c r="P23" s="28"/>
      <c r="Q23" s="29">
        <f t="shared" si="5"/>
        <v>0</v>
      </c>
      <c r="R23" s="29"/>
      <c r="S23" s="28"/>
      <c r="T23" s="29">
        <f t="shared" si="6"/>
        <v>0</v>
      </c>
      <c r="U23" s="29"/>
    </row>
    <row r="24" spans="1:28" x14ac:dyDescent="0.25">
      <c r="A24" s="26">
        <f t="shared" si="7"/>
        <v>10</v>
      </c>
      <c r="B24" s="27" t="s">
        <v>71</v>
      </c>
      <c r="C24" s="28"/>
      <c r="D24" s="28"/>
      <c r="E24" s="28">
        <f t="shared" si="0"/>
        <v>0</v>
      </c>
      <c r="F24" s="29">
        <f t="shared" si="1"/>
        <v>0</v>
      </c>
      <c r="G24" s="28"/>
      <c r="H24" s="40">
        <f t="shared" si="2"/>
        <v>0</v>
      </c>
      <c r="I24" s="29"/>
      <c r="J24" s="28"/>
      <c r="K24" s="29">
        <f t="shared" si="3"/>
        <v>0</v>
      </c>
      <c r="L24" s="29"/>
      <c r="M24" s="28"/>
      <c r="N24" s="29">
        <f t="shared" si="4"/>
        <v>0</v>
      </c>
      <c r="O24" s="29"/>
      <c r="P24" s="28"/>
      <c r="Q24" s="29">
        <f t="shared" si="5"/>
        <v>0</v>
      </c>
      <c r="R24" s="29"/>
      <c r="S24" s="28"/>
      <c r="T24" s="29">
        <f t="shared" si="6"/>
        <v>0</v>
      </c>
      <c r="U24" s="29"/>
    </row>
    <row r="25" spans="1:28" x14ac:dyDescent="0.25">
      <c r="A25" s="26">
        <f t="shared" si="7"/>
        <v>11</v>
      </c>
      <c r="B25" s="27" t="s">
        <v>72</v>
      </c>
      <c r="C25" s="28"/>
      <c r="D25" s="28"/>
      <c r="E25" s="28">
        <f t="shared" si="0"/>
        <v>0</v>
      </c>
      <c r="F25" s="29">
        <f t="shared" si="1"/>
        <v>0</v>
      </c>
      <c r="G25" s="28"/>
      <c r="H25" s="40">
        <f t="shared" si="2"/>
        <v>0</v>
      </c>
      <c r="I25" s="29"/>
      <c r="J25" s="28"/>
      <c r="K25" s="29">
        <f t="shared" si="3"/>
        <v>0</v>
      </c>
      <c r="L25" s="29"/>
      <c r="M25" s="28"/>
      <c r="N25" s="29">
        <f t="shared" si="4"/>
        <v>0</v>
      </c>
      <c r="O25" s="29"/>
      <c r="P25" s="28"/>
      <c r="Q25" s="29">
        <f t="shared" si="5"/>
        <v>0</v>
      </c>
      <c r="R25" s="29"/>
      <c r="S25" s="28"/>
      <c r="T25" s="29">
        <f t="shared" si="6"/>
        <v>0</v>
      </c>
      <c r="U25" s="29"/>
    </row>
    <row r="26" spans="1:28" x14ac:dyDescent="0.25">
      <c r="A26" s="26">
        <f t="shared" si="7"/>
        <v>12</v>
      </c>
      <c r="B26" s="27" t="s">
        <v>73</v>
      </c>
      <c r="C26" s="28"/>
      <c r="D26" s="28"/>
      <c r="E26" s="28">
        <f t="shared" si="0"/>
        <v>0</v>
      </c>
      <c r="F26" s="29">
        <f t="shared" si="1"/>
        <v>0</v>
      </c>
      <c r="G26" s="28"/>
      <c r="H26" s="40">
        <f t="shared" si="2"/>
        <v>0</v>
      </c>
      <c r="I26" s="29"/>
      <c r="J26" s="28"/>
      <c r="K26" s="29">
        <f t="shared" si="3"/>
        <v>0</v>
      </c>
      <c r="L26" s="29"/>
      <c r="M26" s="28"/>
      <c r="N26" s="29">
        <f t="shared" si="4"/>
        <v>0</v>
      </c>
      <c r="O26" s="29"/>
      <c r="P26" s="28"/>
      <c r="Q26" s="29">
        <f t="shared" si="5"/>
        <v>0</v>
      </c>
      <c r="R26" s="29"/>
      <c r="S26" s="28"/>
      <c r="T26" s="29">
        <f t="shared" si="6"/>
        <v>0</v>
      </c>
      <c r="U26" s="29"/>
    </row>
    <row r="27" spans="1:28" x14ac:dyDescent="0.25">
      <c r="A27" s="26">
        <f t="shared" si="7"/>
        <v>13</v>
      </c>
      <c r="B27" s="27" t="s">
        <v>74</v>
      </c>
      <c r="C27" s="28"/>
      <c r="D27" s="28"/>
      <c r="E27" s="28">
        <f t="shared" si="0"/>
        <v>0</v>
      </c>
      <c r="F27" s="29">
        <f t="shared" si="1"/>
        <v>0</v>
      </c>
      <c r="G27" s="28"/>
      <c r="H27" s="40">
        <f t="shared" si="2"/>
        <v>0</v>
      </c>
      <c r="I27" s="29"/>
      <c r="J27" s="28"/>
      <c r="K27" s="29">
        <f t="shared" si="3"/>
        <v>0</v>
      </c>
      <c r="L27" s="29"/>
      <c r="M27" s="28"/>
      <c r="N27" s="29">
        <f t="shared" si="4"/>
        <v>0</v>
      </c>
      <c r="O27" s="29"/>
      <c r="P27" s="28"/>
      <c r="Q27" s="29">
        <f t="shared" si="5"/>
        <v>0</v>
      </c>
      <c r="R27" s="29"/>
      <c r="S27" s="28"/>
      <c r="T27" s="29">
        <f t="shared" si="6"/>
        <v>0</v>
      </c>
      <c r="U27" s="29"/>
    </row>
    <row r="28" spans="1:28" x14ac:dyDescent="0.25">
      <c r="A28" s="26">
        <f t="shared" si="7"/>
        <v>14</v>
      </c>
      <c r="B28" s="27" t="s">
        <v>75</v>
      </c>
      <c r="C28" s="28"/>
      <c r="D28" s="28"/>
      <c r="E28" s="28">
        <f t="shared" si="0"/>
        <v>0</v>
      </c>
      <c r="F28" s="29">
        <f t="shared" si="1"/>
        <v>0</v>
      </c>
      <c r="G28" s="28"/>
      <c r="H28" s="40">
        <f t="shared" si="2"/>
        <v>0</v>
      </c>
      <c r="I28" s="29"/>
      <c r="J28" s="28"/>
      <c r="K28" s="29">
        <f t="shared" si="3"/>
        <v>0</v>
      </c>
      <c r="L28" s="29"/>
      <c r="M28" s="28"/>
      <c r="N28" s="29">
        <f t="shared" si="4"/>
        <v>0</v>
      </c>
      <c r="O28" s="29"/>
      <c r="P28" s="28"/>
      <c r="Q28" s="29">
        <f t="shared" si="5"/>
        <v>0</v>
      </c>
      <c r="R28" s="29"/>
      <c r="S28" s="28"/>
      <c r="T28" s="29">
        <f t="shared" si="6"/>
        <v>0</v>
      </c>
      <c r="U28" s="29"/>
    </row>
    <row r="29" spans="1:28" x14ac:dyDescent="0.25">
      <c r="A29" s="26">
        <f t="shared" si="7"/>
        <v>15</v>
      </c>
      <c r="B29" s="42" t="s">
        <v>76</v>
      </c>
      <c r="C29" s="28"/>
      <c r="D29" s="28"/>
      <c r="E29" s="28">
        <f t="shared" si="0"/>
        <v>0</v>
      </c>
      <c r="F29" s="29">
        <f t="shared" si="1"/>
        <v>0</v>
      </c>
      <c r="G29" s="28"/>
      <c r="H29" s="40">
        <f t="shared" si="2"/>
        <v>0</v>
      </c>
      <c r="I29" s="29"/>
      <c r="J29" s="28"/>
      <c r="K29" s="29">
        <f t="shared" si="3"/>
        <v>0</v>
      </c>
      <c r="L29" s="29"/>
      <c r="M29" s="28"/>
      <c r="N29" s="29">
        <f t="shared" si="4"/>
        <v>0</v>
      </c>
      <c r="O29" s="29"/>
      <c r="P29" s="28"/>
      <c r="Q29" s="29">
        <f t="shared" si="5"/>
        <v>0</v>
      </c>
      <c r="R29" s="29"/>
      <c r="S29" s="28"/>
      <c r="T29" s="29">
        <f t="shared" si="6"/>
        <v>0</v>
      </c>
      <c r="U29" s="29"/>
    </row>
    <row r="30" spans="1:28" x14ac:dyDescent="0.25">
      <c r="A30" s="26">
        <v>16</v>
      </c>
      <c r="B30" s="42" t="s">
        <v>77</v>
      </c>
      <c r="C30" s="28"/>
      <c r="D30" s="28"/>
      <c r="E30" s="28">
        <f t="shared" ref="E30:E31" si="8">+C30-D30</f>
        <v>0</v>
      </c>
      <c r="F30" s="29">
        <f t="shared" ref="F30:F31" si="9">+IFERROR(E30/D30*100,0)</f>
        <v>0</v>
      </c>
      <c r="G30" s="28"/>
      <c r="H30" s="40">
        <f t="shared" ref="H30:H31" si="10">+IFERROR(G30/C30*100,0)</f>
        <v>0</v>
      </c>
      <c r="I30" s="29"/>
      <c r="J30" s="28"/>
      <c r="K30" s="29">
        <f t="shared" ref="K30:K31" si="11">+IFERROR(J30/C30*100,0)</f>
        <v>0</v>
      </c>
      <c r="L30" s="29"/>
      <c r="M30" s="28"/>
      <c r="N30" s="29">
        <f t="shared" ref="N30:N31" si="12">+IFERROR(M30/C30*100,0)</f>
        <v>0</v>
      </c>
      <c r="O30" s="29"/>
      <c r="P30" s="28"/>
      <c r="Q30" s="29">
        <f t="shared" ref="Q30:Q31" si="13">+IFERROR(P30/M30*100,0)</f>
        <v>0</v>
      </c>
      <c r="R30" s="29"/>
      <c r="S30" s="28"/>
      <c r="T30" s="29">
        <f t="shared" ref="T30:T31" si="14">+IFERROR(S30/M30*100,0)</f>
        <v>0</v>
      </c>
      <c r="U30" s="29"/>
    </row>
    <row r="31" spans="1:28" x14ac:dyDescent="0.25">
      <c r="A31" s="26">
        <v>17</v>
      </c>
      <c r="B31" s="42" t="s">
        <v>78</v>
      </c>
      <c r="C31" s="28"/>
      <c r="D31" s="28"/>
      <c r="E31" s="28">
        <f t="shared" si="8"/>
        <v>0</v>
      </c>
      <c r="F31" s="29">
        <f t="shared" si="9"/>
        <v>0</v>
      </c>
      <c r="G31" s="28"/>
      <c r="H31" s="40">
        <f t="shared" si="10"/>
        <v>0</v>
      </c>
      <c r="I31" s="29"/>
      <c r="J31" s="28"/>
      <c r="K31" s="29">
        <f t="shared" si="11"/>
        <v>0</v>
      </c>
      <c r="L31" s="29"/>
      <c r="M31" s="28"/>
      <c r="N31" s="29">
        <f t="shared" si="12"/>
        <v>0</v>
      </c>
      <c r="O31" s="29"/>
      <c r="P31" s="28"/>
      <c r="Q31" s="29">
        <f t="shared" si="13"/>
        <v>0</v>
      </c>
      <c r="R31" s="29"/>
      <c r="S31" s="28"/>
      <c r="T31" s="29">
        <f t="shared" si="14"/>
        <v>0</v>
      </c>
      <c r="U31" s="29"/>
    </row>
    <row r="32" spans="1:28" ht="13" x14ac:dyDescent="0.3">
      <c r="B32" s="60" t="s">
        <v>80</v>
      </c>
      <c r="C32" s="61">
        <f>SUM(C15:C31)</f>
        <v>0</v>
      </c>
      <c r="D32" s="61">
        <f>SUM(D15:D31)</f>
        <v>0</v>
      </c>
      <c r="E32" s="68"/>
      <c r="F32" s="68"/>
      <c r="G32" s="61">
        <f>SUM(G15:G31)</f>
        <v>0</v>
      </c>
      <c r="H32" s="68"/>
      <c r="I32" s="61">
        <f>SUM(I15:I31)</f>
        <v>0</v>
      </c>
      <c r="J32" s="68"/>
      <c r="K32" s="68"/>
      <c r="L32" s="68"/>
      <c r="M32" s="61">
        <f>SUM(M15:M31)</f>
        <v>0</v>
      </c>
      <c r="N32" s="68"/>
      <c r="O32" s="68"/>
      <c r="P32" s="61">
        <f>SUM(P15:P31)</f>
        <v>0</v>
      </c>
      <c r="Q32" s="68"/>
      <c r="R32" s="68"/>
      <c r="S32" s="61">
        <f>SUM(S15:S31)</f>
        <v>0</v>
      </c>
      <c r="T32" s="68"/>
      <c r="U32" s="68"/>
    </row>
    <row r="35" spans="1:2" ht="13" x14ac:dyDescent="0.3">
      <c r="A35" s="66" t="s">
        <v>81</v>
      </c>
      <c r="B35" s="67">
        <v>2023</v>
      </c>
    </row>
    <row r="1048568" spans="16384:16384" x14ac:dyDescent="0.25">
      <c r="XFD1048568" s="77" t="str">
        <f>"Primer Trimestre"&amp;" "&amp;$B$35</f>
        <v>Primer Trimestre 2023</v>
      </c>
    </row>
    <row r="1048569" spans="16384:16384" x14ac:dyDescent="0.25">
      <c r="XFD1048569" s="77" t="str">
        <f>"Segundo Trimestre"&amp;" "&amp;$B$35</f>
        <v>Segundo Trimestre 2023</v>
      </c>
    </row>
    <row r="1048570" spans="16384:16384" x14ac:dyDescent="0.25">
      <c r="XFD1048570" s="77" t="str">
        <f>"Tercer Trimestre"&amp;" "&amp;$B$35</f>
        <v>Tercer Trimestre 2023</v>
      </c>
    </row>
    <row r="1048571" spans="16384:16384" x14ac:dyDescent="0.25">
      <c r="XFD1048571" s="77" t="str">
        <f>"Cuarto Trimestre"&amp;" "&amp;$B$35</f>
        <v>Cuarto Trimestre 2023</v>
      </c>
    </row>
  </sheetData>
  <mergeCells count="28">
    <mergeCell ref="C13:D13"/>
    <mergeCell ref="H13:I13"/>
    <mergeCell ref="K13:L13"/>
    <mergeCell ref="N13:O13"/>
    <mergeCell ref="Q13:R13"/>
    <mergeCell ref="T13:U13"/>
    <mergeCell ref="M11:M12"/>
    <mergeCell ref="N11:O11"/>
    <mergeCell ref="P11:P12"/>
    <mergeCell ref="Q11:R11"/>
    <mergeCell ref="S11:S12"/>
    <mergeCell ref="T11:U11"/>
    <mergeCell ref="K11:L11"/>
    <mergeCell ref="A7:U7"/>
    <mergeCell ref="A8:U8"/>
    <mergeCell ref="A10:A13"/>
    <mergeCell ref="B10:B13"/>
    <mergeCell ref="C10:F10"/>
    <mergeCell ref="G10:I10"/>
    <mergeCell ref="J10:L10"/>
    <mergeCell ref="M10:O10"/>
    <mergeCell ref="P10:R10"/>
    <mergeCell ref="S10:U10"/>
    <mergeCell ref="C11:D11"/>
    <mergeCell ref="E11:F11"/>
    <mergeCell ref="G11:G12"/>
    <mergeCell ref="H11:I11"/>
    <mergeCell ref="J11:J12"/>
  </mergeCells>
  <dataValidations count="1">
    <dataValidation type="list" allowBlank="1" showInputMessage="1" showErrorMessage="1" sqref="U6" xr:uid="{CACFB6A1-C746-4EEF-A920-13057E36DC0A}">
      <formula1>$XFD$1048568:$XFD$1048571</formula1>
    </dataValidation>
  </dataValidations>
  <printOptions horizontalCentered="1"/>
  <pageMargins left="0.31496062992125984" right="0.31496062992125984" top="0.62992125984251968" bottom="0.62992125984251968" header="0.31496062992125984" footer="0.31496062992125984"/>
  <pageSetup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XFD1048571"/>
  <sheetViews>
    <sheetView showGridLines="0" zoomScale="80" zoomScaleNormal="80" workbookViewId="0">
      <selection activeCell="B15" sqref="B15:B31"/>
    </sheetView>
  </sheetViews>
  <sheetFormatPr baseColWidth="10" defaultColWidth="12" defaultRowHeight="12.5" x14ac:dyDescent="0.25"/>
  <cols>
    <col min="1" max="1" width="16.33203125" style="37" customWidth="1"/>
    <col min="2" max="2" width="60.77734375" style="6" bestFit="1" customWidth="1"/>
    <col min="3" max="3" width="12" style="31" customWidth="1"/>
    <col min="4" max="4" width="9.77734375" style="31" customWidth="1"/>
    <col min="5" max="5" width="9.33203125" style="31" customWidth="1"/>
    <col min="6" max="6" width="12.6640625" style="31" bestFit="1" customWidth="1"/>
    <col min="7" max="7" width="9" style="31" bestFit="1" customWidth="1"/>
    <col min="8" max="8" width="7" style="31" bestFit="1" customWidth="1"/>
    <col min="9" max="9" width="12.6640625" style="31" bestFit="1" customWidth="1"/>
    <col min="10" max="11" width="8.6640625" style="31" bestFit="1" customWidth="1"/>
    <col min="12" max="12" width="14" style="31" bestFit="1" customWidth="1"/>
    <col min="13" max="14" width="8.6640625" style="31" bestFit="1" customWidth="1"/>
    <col min="15" max="15" width="13.109375" style="31" bestFit="1" customWidth="1"/>
    <col min="16" max="17" width="8.6640625" style="31" bestFit="1" customWidth="1"/>
    <col min="18" max="18" width="14.77734375" style="6" customWidth="1"/>
    <col min="19" max="19" width="12.77734375" style="6" customWidth="1"/>
    <col min="20" max="20" width="17" style="43" bestFit="1" customWidth="1"/>
    <col min="21" max="23" width="12" style="6"/>
    <col min="24" max="24" width="7" style="6" bestFit="1" customWidth="1"/>
    <col min="25" max="16384" width="12" style="6"/>
  </cols>
  <sheetData>
    <row r="6" spans="1:27" ht="28.5" customHeight="1" x14ac:dyDescent="0.25">
      <c r="A6" s="38" t="s">
        <v>60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39" t="s">
        <v>61</v>
      </c>
    </row>
    <row r="7" spans="1:27" ht="13" x14ac:dyDescent="0.3">
      <c r="A7" s="100" t="s">
        <v>0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</row>
    <row r="8" spans="1:27" ht="13" x14ac:dyDescent="0.3">
      <c r="A8" s="80" t="s">
        <v>82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S8" s="43"/>
    </row>
    <row r="9" spans="1:27" ht="13.5" thickBot="1" x14ac:dyDescent="0.35">
      <c r="A9" s="7"/>
      <c r="B9" s="7"/>
      <c r="C9" s="7"/>
      <c r="D9" s="7"/>
      <c r="E9" s="44"/>
      <c r="F9" s="45"/>
      <c r="H9" s="7"/>
      <c r="I9" s="7"/>
      <c r="J9" s="7"/>
      <c r="K9" s="7"/>
      <c r="L9" s="7"/>
      <c r="M9" s="7"/>
      <c r="N9" s="7"/>
      <c r="O9" s="7"/>
      <c r="P9" s="7"/>
      <c r="S9" s="46" t="s">
        <v>1</v>
      </c>
    </row>
    <row r="10" spans="1:27" s="1" customFormat="1" ht="13.5" customHeight="1" thickBot="1" x14ac:dyDescent="0.3">
      <c r="A10" s="81" t="s">
        <v>2</v>
      </c>
      <c r="B10" s="81" t="s">
        <v>3</v>
      </c>
      <c r="C10" s="101" t="s">
        <v>39</v>
      </c>
      <c r="D10" s="102"/>
      <c r="E10" s="90"/>
      <c r="F10" s="101" t="s">
        <v>55</v>
      </c>
      <c r="G10" s="102"/>
      <c r="H10" s="90"/>
      <c r="I10" s="101" t="s">
        <v>40</v>
      </c>
      <c r="J10" s="102"/>
      <c r="K10" s="90"/>
      <c r="L10" s="101" t="s">
        <v>57</v>
      </c>
      <c r="M10" s="102"/>
      <c r="N10" s="90"/>
      <c r="O10" s="101" t="s">
        <v>41</v>
      </c>
      <c r="P10" s="102"/>
      <c r="Q10" s="90"/>
      <c r="R10" s="47" t="s">
        <v>79</v>
      </c>
      <c r="S10" s="48"/>
      <c r="T10" s="2"/>
    </row>
    <row r="11" spans="1:27" s="1" customFormat="1" ht="13" thickBot="1" x14ac:dyDescent="0.3">
      <c r="A11" s="82"/>
      <c r="B11" s="82"/>
      <c r="C11" s="98" t="s">
        <v>10</v>
      </c>
      <c r="D11" s="11" t="s">
        <v>12</v>
      </c>
      <c r="E11" s="12"/>
      <c r="F11" s="81" t="s">
        <v>10</v>
      </c>
      <c r="G11" s="78" t="s">
        <v>12</v>
      </c>
      <c r="H11" s="79"/>
      <c r="I11" s="98" t="s">
        <v>10</v>
      </c>
      <c r="J11" s="78" t="s">
        <v>12</v>
      </c>
      <c r="K11" s="79"/>
      <c r="L11" s="81" t="s">
        <v>10</v>
      </c>
      <c r="M11" s="78" t="s">
        <v>12</v>
      </c>
      <c r="N11" s="79"/>
      <c r="O11" s="81" t="s">
        <v>10</v>
      </c>
      <c r="P11" s="78" t="s">
        <v>12</v>
      </c>
      <c r="Q11" s="79"/>
      <c r="R11" s="106" t="s">
        <v>10</v>
      </c>
      <c r="S11" s="107"/>
      <c r="T11" s="2"/>
    </row>
    <row r="12" spans="1:27" s="1" customFormat="1" ht="13" thickBot="1" x14ac:dyDescent="0.3">
      <c r="A12" s="82"/>
      <c r="B12" s="82"/>
      <c r="C12" s="99"/>
      <c r="D12" s="13">
        <f>+B35</f>
        <v>2023</v>
      </c>
      <c r="E12" s="13">
        <f>+D12-1</f>
        <v>2022</v>
      </c>
      <c r="F12" s="103"/>
      <c r="G12" s="13">
        <f>+B35</f>
        <v>2023</v>
      </c>
      <c r="H12" s="13">
        <f>+G12-1</f>
        <v>2022</v>
      </c>
      <c r="I12" s="108"/>
      <c r="J12" s="13">
        <f>+B35</f>
        <v>2023</v>
      </c>
      <c r="K12" s="13">
        <f>+J12-1</f>
        <v>2022</v>
      </c>
      <c r="L12" s="82"/>
      <c r="M12" s="13">
        <f>+B35</f>
        <v>2023</v>
      </c>
      <c r="N12" s="13">
        <f>+M12-1</f>
        <v>2022</v>
      </c>
      <c r="O12" s="82"/>
      <c r="P12" s="13">
        <f>+B35</f>
        <v>2023</v>
      </c>
      <c r="Q12" s="13">
        <f>+P12-1</f>
        <v>2022</v>
      </c>
      <c r="R12" s="13">
        <f>+B35</f>
        <v>2023</v>
      </c>
      <c r="S12" s="13">
        <f>+R12-1</f>
        <v>2022</v>
      </c>
      <c r="T12" s="2"/>
    </row>
    <row r="13" spans="1:27" s="1" customFormat="1" ht="13" x14ac:dyDescent="0.3">
      <c r="A13" s="83"/>
      <c r="B13" s="83"/>
      <c r="C13" s="19" t="s">
        <v>42</v>
      </c>
      <c r="D13" s="104" t="s">
        <v>43</v>
      </c>
      <c r="E13" s="105"/>
      <c r="F13" s="19" t="s">
        <v>44</v>
      </c>
      <c r="G13" s="94" t="s">
        <v>45</v>
      </c>
      <c r="H13" s="94"/>
      <c r="I13" s="19" t="s">
        <v>46</v>
      </c>
      <c r="J13" s="94" t="s">
        <v>47</v>
      </c>
      <c r="K13" s="94"/>
      <c r="L13" s="19" t="s">
        <v>48</v>
      </c>
      <c r="M13" s="94" t="s">
        <v>49</v>
      </c>
      <c r="N13" s="94"/>
      <c r="O13" s="19" t="s">
        <v>50</v>
      </c>
      <c r="P13" s="94" t="s">
        <v>51</v>
      </c>
      <c r="Q13" s="94"/>
      <c r="R13" s="109">
        <v>12</v>
      </c>
      <c r="S13" s="110"/>
      <c r="T13" s="2"/>
    </row>
    <row r="14" spans="1:27" s="1" customFormat="1" ht="2.25" customHeight="1" x14ac:dyDescent="0.3">
      <c r="A14" s="21"/>
      <c r="B14" s="21"/>
      <c r="C14" s="24"/>
      <c r="D14" s="22"/>
      <c r="E14" s="22"/>
      <c r="F14" s="49"/>
      <c r="G14" s="22"/>
      <c r="H14" s="22"/>
      <c r="I14" s="49"/>
      <c r="J14" s="22"/>
      <c r="K14" s="22"/>
      <c r="L14" s="49"/>
      <c r="M14" s="22"/>
      <c r="N14" s="22"/>
      <c r="O14" s="49"/>
      <c r="P14" s="22"/>
      <c r="Q14" s="22"/>
    </row>
    <row r="15" spans="1:27" x14ac:dyDescent="0.25">
      <c r="A15" s="26">
        <v>1</v>
      </c>
      <c r="B15" s="27" t="s">
        <v>62</v>
      </c>
      <c r="C15" s="28"/>
      <c r="D15" s="29">
        <f>+IFERROR(C15/PD!M15*100,0)*100</f>
        <v>0</v>
      </c>
      <c r="E15" s="29"/>
      <c r="F15" s="28"/>
      <c r="G15" s="29">
        <f>+IFERROR(F15/PD!C15*100,0)</f>
        <v>0</v>
      </c>
      <c r="H15" s="29"/>
      <c r="I15" s="28"/>
      <c r="J15" s="29">
        <f>+IFERROR(I15/PD!M15*100,0)</f>
        <v>0</v>
      </c>
      <c r="K15" s="29"/>
      <c r="L15" s="28"/>
      <c r="M15" s="29">
        <f>+IFERROR(L15/PD!S15*100,0)</f>
        <v>0</v>
      </c>
      <c r="N15" s="29"/>
      <c r="O15" s="28"/>
      <c r="P15" s="29">
        <f>+IFERROR(O15/PD!C15*100,0)</f>
        <v>0</v>
      </c>
      <c r="Q15" s="29"/>
      <c r="R15" s="28"/>
      <c r="S15" s="28"/>
      <c r="T15" s="2"/>
      <c r="U15" s="30"/>
      <c r="V15" s="31"/>
      <c r="W15" s="31"/>
      <c r="X15" s="31"/>
      <c r="Y15" s="32"/>
      <c r="Z15" s="32"/>
      <c r="AA15" s="32"/>
    </row>
    <row r="16" spans="1:27" ht="13" x14ac:dyDescent="0.3">
      <c r="A16" s="26">
        <v>2</v>
      </c>
      <c r="B16" s="27" t="s">
        <v>66</v>
      </c>
      <c r="C16" s="28"/>
      <c r="D16" s="29">
        <f>+IFERROR(C16/PD!M16*100,0)*100</f>
        <v>0</v>
      </c>
      <c r="E16" s="29"/>
      <c r="F16" s="28"/>
      <c r="G16" s="29">
        <f>+IFERROR(F16/PD!C16*100,0)</f>
        <v>0</v>
      </c>
      <c r="H16" s="29"/>
      <c r="I16" s="28"/>
      <c r="J16" s="29">
        <f>+IFERROR(I16/PD!M16*100,0)</f>
        <v>0</v>
      </c>
      <c r="K16" s="29"/>
      <c r="L16" s="28"/>
      <c r="M16" s="29">
        <f>+IFERROR(L16/PD!S16*100,0)</f>
        <v>0</v>
      </c>
      <c r="N16" s="29"/>
      <c r="O16" s="28"/>
      <c r="P16" s="29">
        <f>+IFERROR(O16/PD!C16*100,0)</f>
        <v>0</v>
      </c>
      <c r="Q16" s="29"/>
      <c r="R16" s="28"/>
      <c r="S16" s="28"/>
      <c r="T16" s="50"/>
      <c r="U16" s="51"/>
      <c r="V16" s="31"/>
      <c r="W16" s="31"/>
      <c r="X16" s="31"/>
      <c r="Y16" s="32"/>
      <c r="Z16" s="32"/>
      <c r="AA16" s="32"/>
    </row>
    <row r="17" spans="1:27" x14ac:dyDescent="0.25">
      <c r="A17" s="26">
        <v>3</v>
      </c>
      <c r="B17" s="27" t="s">
        <v>64</v>
      </c>
      <c r="C17" s="28"/>
      <c r="D17" s="29">
        <f>+IFERROR(C17/PD!M17*100,0)*100</f>
        <v>0</v>
      </c>
      <c r="E17" s="29"/>
      <c r="F17" s="28"/>
      <c r="G17" s="29">
        <f>+IFERROR(F17/PD!C17*100,0)</f>
        <v>0</v>
      </c>
      <c r="H17" s="29"/>
      <c r="I17" s="28"/>
      <c r="J17" s="29">
        <f>+IFERROR(I17/PD!M17*100,0)</f>
        <v>0</v>
      </c>
      <c r="K17" s="29"/>
      <c r="L17" s="28"/>
      <c r="M17" s="29">
        <f>+IFERROR(L17/PD!S17*100,0)</f>
        <v>0</v>
      </c>
      <c r="N17" s="29"/>
      <c r="O17" s="28"/>
      <c r="P17" s="29">
        <f>+IFERROR(O17/PD!C17*100,0)</f>
        <v>0</v>
      </c>
      <c r="Q17" s="29"/>
      <c r="R17" s="28"/>
      <c r="S17" s="28"/>
      <c r="T17" s="50"/>
      <c r="V17" s="31"/>
      <c r="W17" s="31"/>
      <c r="X17" s="31"/>
      <c r="Y17" s="32"/>
      <c r="Z17" s="32"/>
      <c r="AA17" s="32"/>
    </row>
    <row r="18" spans="1:27" ht="13" x14ac:dyDescent="0.3">
      <c r="A18" s="26">
        <v>4</v>
      </c>
      <c r="B18" s="27" t="s">
        <v>65</v>
      </c>
      <c r="C18" s="28"/>
      <c r="D18" s="29">
        <f>+IFERROR(C18/PD!M18*100,0)*100</f>
        <v>0</v>
      </c>
      <c r="E18" s="29"/>
      <c r="F18" s="28"/>
      <c r="G18" s="29">
        <f>+IFERROR(F18/PD!C18*100,0)</f>
        <v>0</v>
      </c>
      <c r="H18" s="29"/>
      <c r="I18" s="28"/>
      <c r="J18" s="29">
        <f>+IFERROR(I18/PD!M18*100,0)</f>
        <v>0</v>
      </c>
      <c r="K18" s="29"/>
      <c r="L18" s="28"/>
      <c r="M18" s="29">
        <f>+IFERROR(L18/PD!S18*100,0)</f>
        <v>0</v>
      </c>
      <c r="N18" s="29"/>
      <c r="O18" s="28"/>
      <c r="P18" s="29">
        <f>+IFERROR(O18/PD!C18*100,0)</f>
        <v>0</v>
      </c>
      <c r="Q18" s="29"/>
      <c r="R18" s="28"/>
      <c r="S18" s="28"/>
      <c r="T18" s="50"/>
      <c r="U18" s="52"/>
      <c r="V18" s="31"/>
      <c r="W18" s="31"/>
      <c r="X18" s="31"/>
      <c r="Y18" s="32"/>
      <c r="Z18" s="32"/>
      <c r="AA18" s="32"/>
    </row>
    <row r="19" spans="1:27" x14ac:dyDescent="0.25">
      <c r="A19" s="26">
        <f>+A18+1</f>
        <v>5</v>
      </c>
      <c r="B19" s="27" t="s">
        <v>63</v>
      </c>
      <c r="C19" s="28"/>
      <c r="D19" s="29">
        <f>+IFERROR(C19/PD!M19*100,0)*100</f>
        <v>0</v>
      </c>
      <c r="E19" s="29"/>
      <c r="F19" s="28"/>
      <c r="G19" s="29">
        <f>+IFERROR(F19/PD!C19*100,0)</f>
        <v>0</v>
      </c>
      <c r="H19" s="29"/>
      <c r="I19" s="28"/>
      <c r="J19" s="29">
        <f>+IFERROR(I19/PD!M19*100,0)</f>
        <v>0</v>
      </c>
      <c r="K19" s="29"/>
      <c r="L19" s="28"/>
      <c r="M19" s="29">
        <f>+IFERROR(L19/PD!S19*100,0)</f>
        <v>0</v>
      </c>
      <c r="N19" s="29"/>
      <c r="O19" s="28"/>
      <c r="P19" s="29">
        <f>+IFERROR(O19/PD!C19*100,0)</f>
        <v>0</v>
      </c>
      <c r="Q19" s="29"/>
      <c r="R19" s="28"/>
      <c r="S19" s="28"/>
      <c r="T19" s="50"/>
      <c r="V19" s="31"/>
      <c r="W19" s="31"/>
      <c r="X19" s="31"/>
      <c r="Y19" s="32"/>
      <c r="Z19" s="32"/>
      <c r="AA19" s="32"/>
    </row>
    <row r="20" spans="1:27" ht="13" x14ac:dyDescent="0.3">
      <c r="A20" s="26">
        <f t="shared" ref="A20:A29" si="0">+A19+1</f>
        <v>6</v>
      </c>
      <c r="B20" s="27" t="s">
        <v>67</v>
      </c>
      <c r="C20" s="28"/>
      <c r="D20" s="29">
        <f>+IFERROR(C20/PD!M20*100,0)*100</f>
        <v>0</v>
      </c>
      <c r="E20" s="29"/>
      <c r="F20" s="28"/>
      <c r="G20" s="29">
        <f>+IFERROR(F20/PD!C20*100,0)</f>
        <v>0</v>
      </c>
      <c r="H20" s="29"/>
      <c r="I20" s="28"/>
      <c r="J20" s="29">
        <f>+IFERROR(I20/PD!M20*100,0)</f>
        <v>0</v>
      </c>
      <c r="K20" s="29"/>
      <c r="L20" s="28"/>
      <c r="M20" s="29">
        <f>+IFERROR(L20/PD!S20*100,0)</f>
        <v>0</v>
      </c>
      <c r="N20" s="29"/>
      <c r="O20" s="28"/>
      <c r="P20" s="29">
        <f>+IFERROR(O20/PD!C20*100,0)</f>
        <v>0</v>
      </c>
      <c r="Q20" s="29"/>
      <c r="R20" s="28"/>
      <c r="S20" s="28"/>
      <c r="T20" s="56"/>
      <c r="U20" s="57"/>
      <c r="V20" s="31"/>
      <c r="W20" s="31"/>
      <c r="X20" s="31"/>
      <c r="Y20" s="32"/>
      <c r="Z20" s="32"/>
      <c r="AA20" s="32"/>
    </row>
    <row r="21" spans="1:27" x14ac:dyDescent="0.25">
      <c r="A21" s="26">
        <f t="shared" si="0"/>
        <v>7</v>
      </c>
      <c r="B21" s="27" t="s">
        <v>68</v>
      </c>
      <c r="C21" s="28"/>
      <c r="D21" s="29">
        <f>+IFERROR(C21/PD!M21*100,0)*100</f>
        <v>0</v>
      </c>
      <c r="E21" s="29"/>
      <c r="F21" s="28"/>
      <c r="G21" s="29">
        <f>+IFERROR(F21/PD!C21*100,0)</f>
        <v>0</v>
      </c>
      <c r="H21" s="29"/>
      <c r="I21" s="28"/>
      <c r="J21" s="29">
        <f>+IFERROR(I21/PD!M21*100,0)</f>
        <v>0</v>
      </c>
      <c r="K21" s="29"/>
      <c r="L21" s="28"/>
      <c r="M21" s="29">
        <f>+IFERROR(L21/PD!S21*100,0)</f>
        <v>0</v>
      </c>
      <c r="N21" s="29"/>
      <c r="O21" s="28"/>
      <c r="P21" s="29">
        <f>+IFERROR(O21/PD!C21*100,0)</f>
        <v>0</v>
      </c>
      <c r="Q21" s="29"/>
      <c r="R21" s="28"/>
      <c r="S21" s="28"/>
      <c r="T21" s="50"/>
      <c r="V21" s="31"/>
      <c r="W21" s="31"/>
      <c r="X21" s="31"/>
      <c r="Y21" s="32"/>
      <c r="Z21" s="32"/>
      <c r="AA21" s="32"/>
    </row>
    <row r="22" spans="1:27" x14ac:dyDescent="0.25">
      <c r="A22" s="26">
        <f t="shared" si="0"/>
        <v>8</v>
      </c>
      <c r="B22" s="27" t="s">
        <v>69</v>
      </c>
      <c r="C22" s="28"/>
      <c r="D22" s="29">
        <f>+IFERROR(C22/PD!M22*100,0)*100</f>
        <v>0</v>
      </c>
      <c r="E22" s="29"/>
      <c r="F22" s="28"/>
      <c r="G22" s="29">
        <f>+IFERROR(F22/PD!C22*100,0)</f>
        <v>0</v>
      </c>
      <c r="H22" s="29"/>
      <c r="I22" s="28"/>
      <c r="J22" s="29">
        <f>+IFERROR(I22/PD!M22*100,0)</f>
        <v>0</v>
      </c>
      <c r="K22" s="29"/>
      <c r="L22" s="28"/>
      <c r="M22" s="29">
        <f>+IFERROR(L22/PD!S22*100,0)</f>
        <v>0</v>
      </c>
      <c r="N22" s="29"/>
      <c r="O22" s="28"/>
      <c r="P22" s="29">
        <f>+IFERROR(O22/PD!C22*100,0)</f>
        <v>0</v>
      </c>
      <c r="Q22" s="29"/>
      <c r="R22" s="28"/>
      <c r="S22" s="28"/>
      <c r="T22" s="50"/>
      <c r="U22" s="30"/>
      <c r="V22" s="31"/>
      <c r="W22" s="31"/>
      <c r="X22" s="31"/>
      <c r="Y22" s="32"/>
      <c r="Z22" s="32"/>
      <c r="AA22" s="32"/>
    </row>
    <row r="23" spans="1:27" x14ac:dyDescent="0.25">
      <c r="A23" s="26">
        <f t="shared" si="0"/>
        <v>9</v>
      </c>
      <c r="B23" s="27" t="s">
        <v>70</v>
      </c>
      <c r="C23" s="28"/>
      <c r="D23" s="29">
        <f>+IFERROR(C23/PD!M23*100,0)*100</f>
        <v>0</v>
      </c>
      <c r="E23" s="29"/>
      <c r="F23" s="28"/>
      <c r="G23" s="29">
        <f>+IFERROR(F23/PD!C23*100,0)</f>
        <v>0</v>
      </c>
      <c r="H23" s="29"/>
      <c r="I23" s="28"/>
      <c r="J23" s="29">
        <f>+IFERROR(I23/PD!M23*100,0)</f>
        <v>0</v>
      </c>
      <c r="K23" s="29"/>
      <c r="L23" s="28"/>
      <c r="M23" s="29">
        <f>+IFERROR(L23/PD!S23*100,0)</f>
        <v>0</v>
      </c>
      <c r="N23" s="29"/>
      <c r="O23" s="28"/>
      <c r="P23" s="29">
        <f>+IFERROR(O23/PD!C23*100,0)</f>
        <v>0</v>
      </c>
      <c r="Q23" s="29"/>
      <c r="R23" s="28"/>
      <c r="S23" s="28"/>
      <c r="T23" s="50"/>
      <c r="U23" s="58"/>
      <c r="V23" s="31"/>
      <c r="W23" s="31"/>
      <c r="X23" s="31"/>
      <c r="Y23" s="32"/>
      <c r="Z23" s="32"/>
      <c r="AA23" s="32"/>
    </row>
    <row r="24" spans="1:27" x14ac:dyDescent="0.25">
      <c r="A24" s="26">
        <f t="shared" si="0"/>
        <v>10</v>
      </c>
      <c r="B24" s="27" t="s">
        <v>71</v>
      </c>
      <c r="C24" s="28"/>
      <c r="D24" s="29">
        <f>+IFERROR(C24/PD!M24*100,0)*100</f>
        <v>0</v>
      </c>
      <c r="E24" s="29"/>
      <c r="F24" s="28"/>
      <c r="G24" s="29">
        <f>+IFERROR(F24/PD!C24*100,0)</f>
        <v>0</v>
      </c>
      <c r="H24" s="29"/>
      <c r="I24" s="28"/>
      <c r="J24" s="29">
        <f>+IFERROR(I24/PD!M24*100,0)</f>
        <v>0</v>
      </c>
      <c r="K24" s="29"/>
      <c r="L24" s="28"/>
      <c r="M24" s="29">
        <f>+IFERROR(L24/PD!S24*100,0)</f>
        <v>0</v>
      </c>
      <c r="N24" s="29"/>
      <c r="O24" s="28"/>
      <c r="P24" s="29">
        <f>+IFERROR(O24/PD!C24*100,0)</f>
        <v>0</v>
      </c>
      <c r="Q24" s="29"/>
      <c r="R24" s="28"/>
      <c r="S24" s="28"/>
      <c r="T24" s="50"/>
      <c r="U24" s="30"/>
      <c r="V24" s="31"/>
      <c r="W24" s="31"/>
      <c r="X24" s="31"/>
      <c r="Y24" s="32"/>
      <c r="Z24" s="32"/>
      <c r="AA24" s="32"/>
    </row>
    <row r="25" spans="1:27" x14ac:dyDescent="0.25">
      <c r="A25" s="26">
        <f t="shared" si="0"/>
        <v>11</v>
      </c>
      <c r="B25" s="27" t="s">
        <v>72</v>
      </c>
      <c r="C25" s="28"/>
      <c r="D25" s="29">
        <f>+IFERROR(C25/PD!M25*100,0)*100</f>
        <v>0</v>
      </c>
      <c r="E25" s="29"/>
      <c r="F25" s="28"/>
      <c r="G25" s="29">
        <f>+IFERROR(F25/PD!C25*100,0)</f>
        <v>0</v>
      </c>
      <c r="H25" s="29"/>
      <c r="I25" s="28"/>
      <c r="J25" s="29">
        <f>+IFERROR(I25/PD!M25*100,0)</f>
        <v>0</v>
      </c>
      <c r="K25" s="29"/>
      <c r="L25" s="28"/>
      <c r="M25" s="29">
        <f>+IFERROR(L25/PD!S25*100,0)</f>
        <v>0</v>
      </c>
      <c r="N25" s="29"/>
      <c r="O25" s="28"/>
      <c r="P25" s="29">
        <f>+IFERROR(O25/PD!C25*100,0)</f>
        <v>0</v>
      </c>
      <c r="Q25" s="29"/>
      <c r="R25" s="28"/>
      <c r="S25" s="28"/>
      <c r="T25" s="50"/>
      <c r="U25" s="30"/>
      <c r="V25" s="31"/>
      <c r="W25" s="31"/>
      <c r="X25" s="31"/>
      <c r="Y25" s="32"/>
      <c r="Z25" s="32"/>
      <c r="AA25" s="32"/>
    </row>
    <row r="26" spans="1:27" x14ac:dyDescent="0.25">
      <c r="A26" s="26">
        <f t="shared" si="0"/>
        <v>12</v>
      </c>
      <c r="B26" s="27" t="s">
        <v>73</v>
      </c>
      <c r="C26" s="28"/>
      <c r="D26" s="29">
        <f>+IFERROR(C26/PD!M26*100,0)*100</f>
        <v>0</v>
      </c>
      <c r="E26" s="29"/>
      <c r="F26" s="28"/>
      <c r="G26" s="29">
        <f>+IFERROR(F26/PD!C26*100,0)</f>
        <v>0</v>
      </c>
      <c r="H26" s="29"/>
      <c r="I26" s="28"/>
      <c r="J26" s="29">
        <f>+IFERROR(I26/PD!M26*100,0)</f>
        <v>0</v>
      </c>
      <c r="K26" s="29"/>
      <c r="L26" s="28"/>
      <c r="M26" s="29">
        <f>+IFERROR(L26/PD!S26*100,0)</f>
        <v>0</v>
      </c>
      <c r="N26" s="29"/>
      <c r="O26" s="28"/>
      <c r="P26" s="29">
        <f>+IFERROR(O26/PD!C26*100,0)</f>
        <v>0</v>
      </c>
      <c r="Q26" s="29"/>
      <c r="R26" s="28"/>
      <c r="S26" s="28"/>
      <c r="T26" s="50"/>
      <c r="U26" s="30"/>
      <c r="V26" s="31"/>
      <c r="W26" s="31"/>
      <c r="X26" s="31"/>
      <c r="Y26" s="32"/>
      <c r="Z26" s="32"/>
      <c r="AA26" s="32"/>
    </row>
    <row r="27" spans="1:27" x14ac:dyDescent="0.25">
      <c r="A27" s="26">
        <f t="shared" si="0"/>
        <v>13</v>
      </c>
      <c r="B27" s="27" t="s">
        <v>74</v>
      </c>
      <c r="C27" s="28"/>
      <c r="D27" s="29">
        <f>+IFERROR(C27/PD!M27*100,0)*100</f>
        <v>0</v>
      </c>
      <c r="E27" s="29"/>
      <c r="F27" s="28"/>
      <c r="G27" s="29">
        <f>+IFERROR(F27/PD!C27*100,0)</f>
        <v>0</v>
      </c>
      <c r="H27" s="29"/>
      <c r="I27" s="28"/>
      <c r="J27" s="29">
        <f>+IFERROR(I27/PD!M27*100,0)</f>
        <v>0</v>
      </c>
      <c r="K27" s="29"/>
      <c r="L27" s="28"/>
      <c r="M27" s="29">
        <f>+IFERROR(L27/PD!S27*100,0)</f>
        <v>0</v>
      </c>
      <c r="N27" s="29"/>
      <c r="O27" s="28"/>
      <c r="P27" s="29">
        <f>+IFERROR(O27/PD!C27*100,0)</f>
        <v>0</v>
      </c>
      <c r="Q27" s="29"/>
      <c r="R27" s="28"/>
      <c r="S27" s="28"/>
      <c r="T27" s="50"/>
      <c r="V27" s="31"/>
      <c r="W27" s="31"/>
      <c r="X27" s="31"/>
      <c r="Y27" s="32"/>
      <c r="Z27" s="32"/>
      <c r="AA27" s="32"/>
    </row>
    <row r="28" spans="1:27" x14ac:dyDescent="0.25">
      <c r="A28" s="26">
        <f t="shared" si="0"/>
        <v>14</v>
      </c>
      <c r="B28" s="27" t="s">
        <v>75</v>
      </c>
      <c r="C28" s="28"/>
      <c r="D28" s="29">
        <f>+IFERROR(C28/PD!M28*100,0)*100</f>
        <v>0</v>
      </c>
      <c r="E28" s="29"/>
      <c r="F28" s="28"/>
      <c r="G28" s="29">
        <f>+IFERROR(F28/PD!C28*100,0)</f>
        <v>0</v>
      </c>
      <c r="H28" s="29"/>
      <c r="I28" s="28"/>
      <c r="J28" s="29">
        <f>+IFERROR(I28/PD!M28*100,0)</f>
        <v>0</v>
      </c>
      <c r="K28" s="29"/>
      <c r="L28" s="28"/>
      <c r="M28" s="29">
        <f>+IFERROR(L28/PD!S28*100,0)</f>
        <v>0</v>
      </c>
      <c r="N28" s="29"/>
      <c r="O28" s="28"/>
      <c r="P28" s="29">
        <f>+IFERROR(O28/PD!C28*100,0)</f>
        <v>0</v>
      </c>
      <c r="Q28" s="29"/>
      <c r="R28" s="28"/>
      <c r="S28" s="28"/>
      <c r="T28" s="50"/>
      <c r="U28" s="30"/>
      <c r="V28" s="31"/>
      <c r="W28" s="31"/>
      <c r="X28" s="31"/>
      <c r="Y28" s="32"/>
      <c r="Z28" s="32"/>
      <c r="AA28" s="32"/>
    </row>
    <row r="29" spans="1:27" x14ac:dyDescent="0.25">
      <c r="A29" s="26">
        <f t="shared" si="0"/>
        <v>15</v>
      </c>
      <c r="B29" s="42" t="s">
        <v>76</v>
      </c>
      <c r="C29" s="28"/>
      <c r="D29" s="29">
        <f>+IFERROR(C29/PD!M29*100,0)*100</f>
        <v>0</v>
      </c>
      <c r="E29" s="29"/>
      <c r="F29" s="28"/>
      <c r="G29" s="29">
        <f>+IFERROR(F29/PD!C29*100,0)</f>
        <v>0</v>
      </c>
      <c r="H29" s="29"/>
      <c r="I29" s="28"/>
      <c r="J29" s="29">
        <f>+IFERROR(I29/PD!M29*100,0)</f>
        <v>0</v>
      </c>
      <c r="K29" s="29"/>
      <c r="L29" s="28"/>
      <c r="M29" s="29">
        <f>+IFERROR(L29/PD!S29*100,0)</f>
        <v>0</v>
      </c>
      <c r="N29" s="29"/>
      <c r="O29" s="28"/>
      <c r="P29" s="29">
        <f>+IFERROR(O29/PD!C29*100,0)</f>
        <v>0</v>
      </c>
      <c r="Q29" s="29"/>
      <c r="R29" s="28"/>
      <c r="S29" s="28"/>
      <c r="T29" s="50"/>
      <c r="U29" s="30"/>
      <c r="V29" s="31"/>
      <c r="W29" s="31"/>
      <c r="X29" s="31"/>
      <c r="Y29" s="32"/>
      <c r="Z29" s="32"/>
      <c r="AA29" s="32"/>
    </row>
    <row r="30" spans="1:27" x14ac:dyDescent="0.25">
      <c r="A30" s="26">
        <v>16</v>
      </c>
      <c r="B30" s="42" t="s">
        <v>77</v>
      </c>
      <c r="C30" s="28"/>
      <c r="D30" s="29">
        <f>+IFERROR(C30/PD!M30*100,0)*100</f>
        <v>0</v>
      </c>
      <c r="E30" s="29"/>
      <c r="F30" s="28"/>
      <c r="G30" s="29">
        <f>+IFERROR(F30/PD!C30*100,0)</f>
        <v>0</v>
      </c>
      <c r="H30" s="29"/>
      <c r="I30" s="28"/>
      <c r="J30" s="29">
        <f>+IFERROR(I30/PD!M30*100,0)</f>
        <v>0</v>
      </c>
      <c r="K30" s="29"/>
      <c r="L30" s="28"/>
      <c r="M30" s="29">
        <f>+IFERROR(L30/PD!S30*100,0)</f>
        <v>0</v>
      </c>
      <c r="N30" s="29"/>
      <c r="O30" s="28"/>
      <c r="P30" s="29">
        <f>+IFERROR(O30/PD!C30*100,0)</f>
        <v>0</v>
      </c>
      <c r="Q30" s="29"/>
      <c r="R30" s="28"/>
      <c r="S30" s="28"/>
      <c r="T30" s="50"/>
      <c r="U30" s="30"/>
      <c r="V30" s="31"/>
      <c r="W30" s="31"/>
      <c r="X30" s="31"/>
      <c r="Y30" s="32"/>
      <c r="Z30" s="32"/>
      <c r="AA30" s="32"/>
    </row>
    <row r="31" spans="1:27" x14ac:dyDescent="0.25">
      <c r="A31" s="26">
        <v>17</v>
      </c>
      <c r="B31" s="42" t="s">
        <v>78</v>
      </c>
      <c r="C31" s="28"/>
      <c r="D31" s="29">
        <f>+IFERROR(C31/PD!M31*100,0)*100</f>
        <v>0</v>
      </c>
      <c r="E31" s="29"/>
      <c r="F31" s="28"/>
      <c r="G31" s="29">
        <f>+IFERROR(F31/PD!C31*100,0)</f>
        <v>0</v>
      </c>
      <c r="H31" s="29"/>
      <c r="I31" s="28"/>
      <c r="J31" s="29">
        <f>+IFERROR(I31/PD!M31*100,0)</f>
        <v>0</v>
      </c>
      <c r="K31" s="29"/>
      <c r="L31" s="28"/>
      <c r="M31" s="29">
        <f>+IFERROR(L31/PD!S31*100,0)</f>
        <v>0</v>
      </c>
      <c r="N31" s="29"/>
      <c r="O31" s="28"/>
      <c r="P31" s="29">
        <f>+IFERROR(O31/PD!C31*100,0)</f>
        <v>0</v>
      </c>
      <c r="Q31" s="29"/>
      <c r="R31" s="28"/>
      <c r="S31" s="28"/>
      <c r="T31" s="50"/>
      <c r="U31" s="30"/>
      <c r="V31" s="31"/>
      <c r="W31" s="31"/>
      <c r="X31" s="31"/>
      <c r="Y31" s="32"/>
      <c r="Z31" s="32"/>
      <c r="AA31" s="32"/>
    </row>
    <row r="32" spans="1:27" ht="13" x14ac:dyDescent="0.3">
      <c r="B32" s="60" t="s">
        <v>80</v>
      </c>
      <c r="C32" s="61">
        <f>SUM(C15:C31)</f>
        <v>0</v>
      </c>
      <c r="D32" s="68"/>
      <c r="E32" s="68"/>
      <c r="F32" s="61">
        <f>SUM(F15:F31)</f>
        <v>0</v>
      </c>
      <c r="G32" s="68"/>
      <c r="H32" s="68"/>
      <c r="I32" s="61">
        <f>SUM(I15:I31)</f>
        <v>0</v>
      </c>
      <c r="J32" s="68"/>
      <c r="K32" s="68"/>
      <c r="L32" s="61">
        <f>SUM(L15:L31)</f>
        <v>0</v>
      </c>
      <c r="M32" s="68"/>
      <c r="N32" s="68"/>
      <c r="O32" s="61">
        <f>SUM(O15:O31)</f>
        <v>0</v>
      </c>
      <c r="P32" s="68"/>
      <c r="Q32" s="68"/>
      <c r="R32" s="61">
        <f>SUM(R15:R31)</f>
        <v>0</v>
      </c>
      <c r="S32" s="61">
        <f>SUM(S15:S31)</f>
        <v>0</v>
      </c>
    </row>
    <row r="35" spans="1:2" ht="13" x14ac:dyDescent="0.3">
      <c r="A35" s="66" t="s">
        <v>81</v>
      </c>
      <c r="B35" s="67">
        <v>2023</v>
      </c>
    </row>
    <row r="1048568" spans="16384:16384" x14ac:dyDescent="0.25">
      <c r="XFD1048568" s="77" t="str">
        <f>"Primer Trimestre"&amp;" "&amp;$B$35</f>
        <v>Primer Trimestre 2023</v>
      </c>
    </row>
    <row r="1048569" spans="16384:16384" x14ac:dyDescent="0.25">
      <c r="XFD1048569" s="77" t="str">
        <f>"Segundo Trimestre"&amp;" "&amp;$B$35</f>
        <v>Segundo Trimestre 2023</v>
      </c>
    </row>
    <row r="1048570" spans="16384:16384" x14ac:dyDescent="0.25">
      <c r="XFD1048570" s="77" t="str">
        <f>"Tercer Trimestre"&amp;" "&amp;$B$35</f>
        <v>Tercer Trimestre 2023</v>
      </c>
    </row>
    <row r="1048571" spans="16384:16384" x14ac:dyDescent="0.25">
      <c r="XFD1048571" s="77" t="str">
        <f>"Cuarto Trimestre"&amp;" "&amp;$B$35</f>
        <v>Cuarto Trimestre 2023</v>
      </c>
    </row>
  </sheetData>
  <mergeCells count="25">
    <mergeCell ref="R11:S11"/>
    <mergeCell ref="P13:Q13"/>
    <mergeCell ref="O11:O12"/>
    <mergeCell ref="G11:H11"/>
    <mergeCell ref="I11:I12"/>
    <mergeCell ref="J11:K11"/>
    <mergeCell ref="L11:L12"/>
    <mergeCell ref="M11:N11"/>
    <mergeCell ref="R13:S13"/>
    <mergeCell ref="C11:C12"/>
    <mergeCell ref="A7:Q7"/>
    <mergeCell ref="A8:Q8"/>
    <mergeCell ref="A10:A13"/>
    <mergeCell ref="B10:B13"/>
    <mergeCell ref="C10:E10"/>
    <mergeCell ref="F10:H10"/>
    <mergeCell ref="I10:K10"/>
    <mergeCell ref="L10:N10"/>
    <mergeCell ref="O10:Q10"/>
    <mergeCell ref="F11:F12"/>
    <mergeCell ref="P11:Q11"/>
    <mergeCell ref="D13:E13"/>
    <mergeCell ref="G13:H13"/>
    <mergeCell ref="J13:K13"/>
    <mergeCell ref="M13:N13"/>
  </mergeCells>
  <dataValidations count="1">
    <dataValidation type="list" allowBlank="1" showInputMessage="1" showErrorMessage="1" sqref="S6" xr:uid="{1F71DBE5-139D-4273-9E3A-4F13BBEC8641}">
      <formula1>$XFD$1048568:$XFD$1048571</formula1>
    </dataValidation>
  </dataValidations>
  <printOptions horizontalCentered="1"/>
  <pageMargins left="0.70866141732283472" right="0.70866141732283472" top="0.59055118110236227" bottom="0.55118110236220474" header="0.31496062992125984" footer="0.31496062992125984"/>
  <pageSetup scale="8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XFD1048569"/>
  <sheetViews>
    <sheetView showGridLines="0" zoomScale="80" zoomScaleNormal="80" workbookViewId="0">
      <pane ySplit="14" topLeftCell="A15" activePane="bottomLeft" state="frozen"/>
      <selection activeCell="I99" sqref="I99"/>
      <selection pane="bottomLeft" activeCell="B15" sqref="B15:B31"/>
    </sheetView>
  </sheetViews>
  <sheetFormatPr baseColWidth="10" defaultColWidth="12" defaultRowHeight="12.5" x14ac:dyDescent="0.25"/>
  <cols>
    <col min="1" max="1" width="11.109375" style="37" customWidth="1"/>
    <col min="2" max="2" width="60.77734375" style="6" bestFit="1" customWidth="1"/>
    <col min="3" max="3" width="12.6640625" style="31" bestFit="1" customWidth="1"/>
    <col min="4" max="4" width="9" style="31" bestFit="1" customWidth="1"/>
    <col min="5" max="5" width="7" style="31" bestFit="1" customWidth="1"/>
    <col min="6" max="6" width="9" style="31" bestFit="1" customWidth="1"/>
    <col min="7" max="7" width="8.6640625" style="31" bestFit="1" customWidth="1"/>
    <col min="8" max="8" width="13.109375" style="31" bestFit="1" customWidth="1"/>
    <col min="9" max="9" width="8.6640625" style="31" bestFit="1" customWidth="1"/>
    <col min="10" max="10" width="7.44140625" style="31" bestFit="1" customWidth="1"/>
    <col min="11" max="12" width="8.6640625" style="31" bestFit="1" customWidth="1"/>
    <col min="13" max="13" width="12.6640625" style="31" bestFit="1" customWidth="1"/>
    <col min="14" max="14" width="8.6640625" style="31" bestFit="1" customWidth="1"/>
    <col min="15" max="15" width="7" style="31" bestFit="1" customWidth="1"/>
    <col min="16" max="16" width="9" style="6" bestFit="1" customWidth="1"/>
    <col min="17" max="17" width="8.6640625" style="6" bestFit="1" customWidth="1"/>
    <col min="18" max="18" width="6.44140625" style="6" bestFit="1" customWidth="1"/>
    <col min="19" max="19" width="7.77734375" style="6" customWidth="1"/>
    <col min="20" max="16384" width="12" style="6"/>
  </cols>
  <sheetData>
    <row r="6" spans="1:26" ht="28.5" customHeight="1" x14ac:dyDescent="0.25">
      <c r="A6" s="38" t="s">
        <v>60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9"/>
      <c r="S6" s="39" t="s">
        <v>61</v>
      </c>
    </row>
    <row r="7" spans="1:26" ht="13" x14ac:dyDescent="0.3">
      <c r="A7" s="111" t="s">
        <v>0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</row>
    <row r="8" spans="1:26" ht="13" x14ac:dyDescent="0.3">
      <c r="A8" s="100" t="s">
        <v>82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</row>
    <row r="9" spans="1:26" ht="13" thickBot="1" x14ac:dyDescent="0.3">
      <c r="A9" s="6"/>
      <c r="C9" s="6"/>
      <c r="D9" s="6"/>
      <c r="E9" s="6"/>
      <c r="F9" s="6"/>
      <c r="G9" s="6"/>
      <c r="H9" s="6"/>
      <c r="I9" s="6"/>
      <c r="J9" s="6"/>
      <c r="K9" s="6"/>
      <c r="L9" s="6"/>
      <c r="M9" s="1"/>
      <c r="N9" s="1"/>
      <c r="S9" s="46" t="s">
        <v>1</v>
      </c>
    </row>
    <row r="10" spans="1:26" s="1" customFormat="1" ht="13.5" customHeight="1" thickBot="1" x14ac:dyDescent="0.3">
      <c r="A10" s="81" t="s">
        <v>2</v>
      </c>
      <c r="B10" s="81" t="s">
        <v>3</v>
      </c>
      <c r="C10" s="101" t="s">
        <v>31</v>
      </c>
      <c r="D10" s="102"/>
      <c r="E10" s="102"/>
      <c r="F10" s="102"/>
      <c r="G10" s="90"/>
      <c r="H10" s="101" t="s">
        <v>32</v>
      </c>
      <c r="I10" s="102"/>
      <c r="J10" s="102"/>
      <c r="K10" s="102"/>
      <c r="L10" s="90"/>
      <c r="M10" s="101" t="s">
        <v>33</v>
      </c>
      <c r="N10" s="102"/>
      <c r="O10" s="102"/>
      <c r="P10" s="102"/>
      <c r="Q10" s="102"/>
      <c r="R10" s="102"/>
      <c r="S10" s="90"/>
    </row>
    <row r="11" spans="1:26" s="1" customFormat="1" ht="13" thickBot="1" x14ac:dyDescent="0.3">
      <c r="A11" s="82"/>
      <c r="B11" s="82"/>
      <c r="C11" s="92" t="s">
        <v>10</v>
      </c>
      <c r="D11" s="78" t="s">
        <v>12</v>
      </c>
      <c r="E11" s="113"/>
      <c r="F11" s="113"/>
      <c r="G11" s="79"/>
      <c r="H11" s="92" t="s">
        <v>10</v>
      </c>
      <c r="I11" s="78" t="s">
        <v>12</v>
      </c>
      <c r="J11" s="113"/>
      <c r="K11" s="113"/>
      <c r="L11" s="79"/>
      <c r="M11" s="93" t="s">
        <v>10</v>
      </c>
      <c r="N11" s="101" t="s">
        <v>12</v>
      </c>
      <c r="O11" s="102"/>
      <c r="P11" s="102"/>
      <c r="Q11" s="102"/>
      <c r="R11" s="102"/>
      <c r="S11" s="90"/>
    </row>
    <row r="12" spans="1:26" s="1" customFormat="1" ht="13" thickBot="1" x14ac:dyDescent="0.3">
      <c r="A12" s="82"/>
      <c r="B12" s="82"/>
      <c r="C12" s="112"/>
      <c r="D12" s="13">
        <f>+B35</f>
        <v>2023</v>
      </c>
      <c r="E12" s="13">
        <f>+D12-1</f>
        <v>2022</v>
      </c>
      <c r="F12" s="13">
        <f>+B35</f>
        <v>2023</v>
      </c>
      <c r="G12" s="13">
        <f>+F12-1</f>
        <v>2022</v>
      </c>
      <c r="H12" s="112"/>
      <c r="I12" s="13">
        <f>+B35</f>
        <v>2023</v>
      </c>
      <c r="J12" s="13">
        <f>+I12-1</f>
        <v>2022</v>
      </c>
      <c r="K12" s="13">
        <f>+B35</f>
        <v>2023</v>
      </c>
      <c r="L12" s="13">
        <f>+K12-1</f>
        <v>2022</v>
      </c>
      <c r="M12" s="112"/>
      <c r="N12" s="13">
        <f>+B35</f>
        <v>2023</v>
      </c>
      <c r="O12" s="13">
        <f>+N12-1</f>
        <v>2022</v>
      </c>
      <c r="P12" s="63">
        <f>+B35</f>
        <v>2023</v>
      </c>
      <c r="Q12" s="63">
        <f>+P12-1</f>
        <v>2022</v>
      </c>
      <c r="R12" s="64">
        <f>+B35</f>
        <v>2023</v>
      </c>
      <c r="S12" s="12">
        <f>+R12-1</f>
        <v>2022</v>
      </c>
    </row>
    <row r="13" spans="1:26" s="1" customFormat="1" ht="13" x14ac:dyDescent="0.3">
      <c r="A13" s="83"/>
      <c r="B13" s="83"/>
      <c r="C13" s="65" t="s">
        <v>34</v>
      </c>
      <c r="D13" s="104" t="s">
        <v>35</v>
      </c>
      <c r="E13" s="105"/>
      <c r="F13" s="104" t="s">
        <v>36</v>
      </c>
      <c r="G13" s="105"/>
      <c r="H13" s="65" t="s">
        <v>37</v>
      </c>
      <c r="I13" s="104" t="s">
        <v>38</v>
      </c>
      <c r="J13" s="105"/>
      <c r="K13" s="104" t="s">
        <v>54</v>
      </c>
      <c r="L13" s="105"/>
      <c r="M13" s="65" t="s">
        <v>23</v>
      </c>
      <c r="N13" s="104" t="s">
        <v>24</v>
      </c>
      <c r="O13" s="105"/>
      <c r="P13" s="104" t="s">
        <v>58</v>
      </c>
      <c r="Q13" s="105"/>
      <c r="R13" s="104" t="s">
        <v>56</v>
      </c>
      <c r="S13" s="105"/>
    </row>
    <row r="14" spans="1:26" s="1" customFormat="1" ht="2.25" customHeight="1" x14ac:dyDescent="0.25">
      <c r="A14" s="21"/>
      <c r="B14" s="21"/>
      <c r="C14" s="49"/>
      <c r="D14" s="22"/>
      <c r="E14" s="22"/>
      <c r="F14" s="22"/>
      <c r="G14" s="22"/>
      <c r="H14" s="49"/>
      <c r="I14" s="22"/>
      <c r="J14" s="22"/>
      <c r="K14" s="22"/>
      <c r="L14" s="22"/>
      <c r="M14" s="49"/>
      <c r="N14" s="22"/>
      <c r="O14" s="22"/>
    </row>
    <row r="15" spans="1:26" x14ac:dyDescent="0.25">
      <c r="A15" s="26">
        <v>1</v>
      </c>
      <c r="B15" s="27" t="s">
        <v>62</v>
      </c>
      <c r="C15" s="28"/>
      <c r="D15" s="29">
        <f>+IFERROR(C15/PD!C15*100,0)</f>
        <v>0</v>
      </c>
      <c r="E15" s="29"/>
      <c r="F15" s="29">
        <f>+IFERROR(C15/PD!M16*100,0)</f>
        <v>0</v>
      </c>
      <c r="G15" s="29"/>
      <c r="H15" s="28"/>
      <c r="I15" s="29">
        <f>+IFERROR(H15/PD!C16*100,0)</f>
        <v>0</v>
      </c>
      <c r="J15" s="29"/>
      <c r="K15" s="29">
        <f>+IFERROR(H15/PD!M16*100,0)</f>
        <v>0</v>
      </c>
      <c r="L15" s="29"/>
      <c r="M15" s="28"/>
      <c r="N15" s="29">
        <f>+IFERROR(M15/PD!C16*100,0)</f>
        <v>0</v>
      </c>
      <c r="O15" s="29"/>
      <c r="P15" s="29">
        <f>+IFERROR(M15/PD!M16*100,0)</f>
        <v>0</v>
      </c>
      <c r="Q15" s="29"/>
      <c r="R15" s="29"/>
      <c r="S15" s="29"/>
      <c r="T15" s="31"/>
      <c r="U15" s="31"/>
      <c r="V15" s="31"/>
      <c r="W15" s="31"/>
      <c r="X15" s="32"/>
      <c r="Y15" s="32"/>
      <c r="Z15" s="32"/>
    </row>
    <row r="16" spans="1:26" x14ac:dyDescent="0.25">
      <c r="A16" s="26">
        <v>2</v>
      </c>
      <c r="B16" s="27" t="s">
        <v>66</v>
      </c>
      <c r="C16" s="28"/>
      <c r="D16" s="29">
        <f>+IFERROR(C16/PD!C16*100,0)</f>
        <v>0</v>
      </c>
      <c r="E16" s="29"/>
      <c r="F16" s="29">
        <f>+IFERROR(C16/PD!M17*100,0)</f>
        <v>0</v>
      </c>
      <c r="G16" s="29"/>
      <c r="H16" s="28"/>
      <c r="I16" s="29">
        <f>+IFERROR(H16/PD!C17*100,0)</f>
        <v>0</v>
      </c>
      <c r="J16" s="29"/>
      <c r="K16" s="29">
        <f>+IFERROR(H16/PD!M17*100,0)</f>
        <v>0</v>
      </c>
      <c r="L16" s="29"/>
      <c r="M16" s="28"/>
      <c r="N16" s="29">
        <f>+IFERROR(M16/PD!C17*100,0)</f>
        <v>0</v>
      </c>
      <c r="O16" s="29"/>
      <c r="P16" s="29">
        <f>+IFERROR(M16/PD!M17*100,0)</f>
        <v>0</v>
      </c>
      <c r="Q16" s="29"/>
      <c r="R16" s="29"/>
      <c r="S16" s="29"/>
      <c r="T16" s="31"/>
      <c r="U16" s="31"/>
      <c r="V16" s="31"/>
      <c r="W16" s="31"/>
      <c r="X16" s="32"/>
      <c r="Y16" s="32"/>
      <c r="Z16" s="32"/>
    </row>
    <row r="17" spans="1:26" x14ac:dyDescent="0.25">
      <c r="A17" s="26">
        <v>3</v>
      </c>
      <c r="B17" s="27" t="s">
        <v>64</v>
      </c>
      <c r="C17" s="28"/>
      <c r="D17" s="29">
        <f>+IFERROR(C17/PD!C17*100,0)</f>
        <v>0</v>
      </c>
      <c r="E17" s="29"/>
      <c r="F17" s="29">
        <f>+IFERROR(C17/PD!M18*100,0)</f>
        <v>0</v>
      </c>
      <c r="G17" s="29"/>
      <c r="H17" s="28"/>
      <c r="I17" s="29">
        <f>+IFERROR(H17/PD!C18*100,0)</f>
        <v>0</v>
      </c>
      <c r="J17" s="29"/>
      <c r="K17" s="29">
        <f>+IFERROR(H17/PD!M18*100,0)</f>
        <v>0</v>
      </c>
      <c r="L17" s="29"/>
      <c r="M17" s="28"/>
      <c r="N17" s="29">
        <f>+IFERROR(M17/PD!C18*100,0)</f>
        <v>0</v>
      </c>
      <c r="O17" s="29"/>
      <c r="P17" s="29">
        <f>+IFERROR(M17/PD!M18*100,0)</f>
        <v>0</v>
      </c>
      <c r="Q17" s="29"/>
      <c r="R17" s="29"/>
      <c r="S17" s="29"/>
      <c r="T17" s="31"/>
      <c r="U17" s="31"/>
      <c r="V17" s="31"/>
      <c r="W17" s="31"/>
      <c r="X17" s="32"/>
      <c r="Y17" s="32"/>
      <c r="Z17" s="32"/>
    </row>
    <row r="18" spans="1:26" x14ac:dyDescent="0.25">
      <c r="A18" s="26">
        <v>4</v>
      </c>
      <c r="B18" s="27" t="s">
        <v>65</v>
      </c>
      <c r="C18" s="28"/>
      <c r="D18" s="29">
        <f>+IFERROR(C18/PD!C18*100,0)</f>
        <v>0</v>
      </c>
      <c r="E18" s="29"/>
      <c r="F18" s="29">
        <f>+IFERROR(C18/PD!M19*100,0)</f>
        <v>0</v>
      </c>
      <c r="G18" s="29"/>
      <c r="H18" s="28"/>
      <c r="I18" s="29">
        <f>+IFERROR(H18/PD!C19*100,0)</f>
        <v>0</v>
      </c>
      <c r="J18" s="29"/>
      <c r="K18" s="29">
        <f>+IFERROR(H18/PD!M19*100,0)</f>
        <v>0</v>
      </c>
      <c r="L18" s="29"/>
      <c r="M18" s="28"/>
      <c r="N18" s="29">
        <f>+IFERROR(M18/PD!C19*100,0)</f>
        <v>0</v>
      </c>
      <c r="O18" s="29"/>
      <c r="P18" s="29">
        <f>+IFERROR(M18/PD!M19*100,0)</f>
        <v>0</v>
      </c>
      <c r="Q18" s="29"/>
      <c r="R18" s="29"/>
      <c r="S18" s="29"/>
      <c r="T18" s="31"/>
      <c r="U18" s="31"/>
      <c r="V18" s="31"/>
      <c r="W18" s="31"/>
      <c r="X18" s="32"/>
      <c r="Y18" s="32"/>
      <c r="Z18" s="32"/>
    </row>
    <row r="19" spans="1:26" x14ac:dyDescent="0.25">
      <c r="A19" s="33">
        <v>5</v>
      </c>
      <c r="B19" s="53" t="s">
        <v>63</v>
      </c>
      <c r="C19" s="54"/>
      <c r="D19" s="29">
        <f>+IFERROR(C19/PD!C19*100,0)</f>
        <v>0</v>
      </c>
      <c r="E19" s="29"/>
      <c r="F19" s="29">
        <f>+IFERROR(C19/PD!M20*100,0)</f>
        <v>0</v>
      </c>
      <c r="G19" s="29"/>
      <c r="H19" s="28"/>
      <c r="I19" s="29">
        <f>+IFERROR(H19/PD!C20*100,0)</f>
        <v>0</v>
      </c>
      <c r="J19" s="29"/>
      <c r="K19" s="29">
        <f>+IFERROR(H19/PD!M20*100,0)</f>
        <v>0</v>
      </c>
      <c r="L19" s="29"/>
      <c r="M19" s="28"/>
      <c r="N19" s="29">
        <f>+IFERROR(M19/PD!C20*100,0)</f>
        <v>0</v>
      </c>
      <c r="O19" s="29"/>
      <c r="P19" s="29">
        <f>+IFERROR(M19/PD!M20*100,0)</f>
        <v>0</v>
      </c>
      <c r="Q19" s="55"/>
      <c r="R19" s="55"/>
      <c r="S19" s="55"/>
      <c r="T19" s="31"/>
      <c r="U19" s="31"/>
      <c r="V19" s="31"/>
      <c r="W19" s="31"/>
      <c r="X19" s="32"/>
      <c r="Y19" s="32"/>
      <c r="Z19" s="32"/>
    </row>
    <row r="20" spans="1:26" x14ac:dyDescent="0.25">
      <c r="A20" s="33">
        <v>6</v>
      </c>
      <c r="B20" s="53" t="s">
        <v>67</v>
      </c>
      <c r="C20" s="54"/>
      <c r="D20" s="29">
        <f>+IFERROR(C20/PD!C20*100,0)</f>
        <v>0</v>
      </c>
      <c r="E20" s="29"/>
      <c r="F20" s="29">
        <f>+IFERROR(C20/PD!M21*100,0)</f>
        <v>0</v>
      </c>
      <c r="G20" s="29"/>
      <c r="H20" s="28"/>
      <c r="I20" s="29">
        <f>+IFERROR(H20/PD!C21*100,0)</f>
        <v>0</v>
      </c>
      <c r="J20" s="29"/>
      <c r="K20" s="29">
        <f>+IFERROR(H20/PD!M21*100,0)</f>
        <v>0</v>
      </c>
      <c r="L20" s="29"/>
      <c r="M20" s="28"/>
      <c r="N20" s="29">
        <f>+IFERROR(M20/PD!C21*100,0)</f>
        <v>0</v>
      </c>
      <c r="O20" s="29"/>
      <c r="P20" s="29">
        <f>+IFERROR(M20/PD!M21*100,0)</f>
        <v>0</v>
      </c>
      <c r="Q20" s="55"/>
      <c r="R20" s="55"/>
      <c r="S20" s="55"/>
      <c r="T20" s="31"/>
      <c r="U20" s="31"/>
      <c r="V20" s="31"/>
      <c r="W20" s="31"/>
      <c r="X20" s="32"/>
      <c r="Y20" s="32"/>
      <c r="Z20" s="32"/>
    </row>
    <row r="21" spans="1:26" x14ac:dyDescent="0.25">
      <c r="A21" s="33">
        <v>7</v>
      </c>
      <c r="B21" s="53" t="s">
        <v>68</v>
      </c>
      <c r="C21" s="54"/>
      <c r="D21" s="29">
        <f>+IFERROR(C21/PD!C21*100,0)</f>
        <v>0</v>
      </c>
      <c r="E21" s="29"/>
      <c r="F21" s="29">
        <f>+IFERROR(C21/PD!M22*100,0)</f>
        <v>0</v>
      </c>
      <c r="G21" s="29"/>
      <c r="H21" s="28"/>
      <c r="I21" s="29">
        <f>+IFERROR(H21/PD!C22*100,0)</f>
        <v>0</v>
      </c>
      <c r="J21" s="29"/>
      <c r="K21" s="29">
        <f>+IFERROR(H21/PD!M22*100,0)</f>
        <v>0</v>
      </c>
      <c r="L21" s="29"/>
      <c r="M21" s="28"/>
      <c r="N21" s="29">
        <f>+IFERROR(M21/PD!C22*100,0)</f>
        <v>0</v>
      </c>
      <c r="O21" s="29"/>
      <c r="P21" s="29">
        <f>+IFERROR(M21/PD!M22*100,0)</f>
        <v>0</v>
      </c>
      <c r="Q21" s="55"/>
      <c r="R21" s="55"/>
      <c r="S21" s="55"/>
      <c r="T21" s="31"/>
      <c r="U21" s="31"/>
      <c r="V21" s="31"/>
      <c r="W21" s="31"/>
      <c r="X21" s="32"/>
      <c r="Y21" s="32"/>
      <c r="Z21" s="32"/>
    </row>
    <row r="22" spans="1:26" x14ac:dyDescent="0.25">
      <c r="A22" s="33">
        <v>8</v>
      </c>
      <c r="B22" s="53" t="s">
        <v>69</v>
      </c>
      <c r="C22" s="54"/>
      <c r="D22" s="29">
        <f>+IFERROR(C22/PD!C22*100,0)</f>
        <v>0</v>
      </c>
      <c r="E22" s="29"/>
      <c r="F22" s="29">
        <f>+IFERROR(C22/PD!M23*100,0)</f>
        <v>0</v>
      </c>
      <c r="G22" s="29"/>
      <c r="H22" s="28"/>
      <c r="I22" s="29">
        <f>+IFERROR(H22/PD!C23*100,0)</f>
        <v>0</v>
      </c>
      <c r="J22" s="29"/>
      <c r="K22" s="29">
        <f>+IFERROR(H22/PD!M23*100,0)</f>
        <v>0</v>
      </c>
      <c r="L22" s="29"/>
      <c r="M22" s="28"/>
      <c r="N22" s="29">
        <f>+IFERROR(M22/PD!C23*100,0)</f>
        <v>0</v>
      </c>
      <c r="O22" s="29"/>
      <c r="P22" s="29">
        <f>+IFERROR(M22/PD!M23*100,0)</f>
        <v>0</v>
      </c>
      <c r="Q22" s="55"/>
      <c r="R22" s="55"/>
      <c r="S22" s="55"/>
      <c r="T22" s="31"/>
      <c r="U22" s="31"/>
      <c r="V22" s="31"/>
      <c r="W22" s="31"/>
      <c r="X22" s="32"/>
      <c r="Y22" s="32"/>
      <c r="Z22" s="32"/>
    </row>
    <row r="23" spans="1:26" x14ac:dyDescent="0.25">
      <c r="A23" s="33">
        <v>9</v>
      </c>
      <c r="B23" s="53" t="s">
        <v>70</v>
      </c>
      <c r="C23" s="54"/>
      <c r="D23" s="29">
        <f>+IFERROR(C23/PD!C23*100,0)</f>
        <v>0</v>
      </c>
      <c r="E23" s="29"/>
      <c r="F23" s="29">
        <f>+IFERROR(C23/PD!M24*100,0)</f>
        <v>0</v>
      </c>
      <c r="G23" s="29"/>
      <c r="H23" s="28"/>
      <c r="I23" s="29">
        <f>+IFERROR(H23/PD!C24*100,0)</f>
        <v>0</v>
      </c>
      <c r="J23" s="29"/>
      <c r="K23" s="29">
        <f>+IFERROR(H23/PD!M24*100,0)</f>
        <v>0</v>
      </c>
      <c r="L23" s="29"/>
      <c r="M23" s="28"/>
      <c r="N23" s="29">
        <f>+IFERROR(M23/PD!C24*100,0)</f>
        <v>0</v>
      </c>
      <c r="O23" s="29"/>
      <c r="P23" s="29">
        <f>+IFERROR(M23/PD!M24*100,0)</f>
        <v>0</v>
      </c>
      <c r="Q23" s="55"/>
      <c r="R23" s="55"/>
      <c r="S23" s="55"/>
      <c r="T23" s="31"/>
      <c r="U23" s="31"/>
      <c r="V23" s="31"/>
      <c r="W23" s="31"/>
      <c r="X23" s="32"/>
      <c r="Y23" s="32"/>
      <c r="Z23" s="32"/>
    </row>
    <row r="24" spans="1:26" x14ac:dyDescent="0.25">
      <c r="A24" s="33">
        <v>10</v>
      </c>
      <c r="B24" s="53" t="s">
        <v>71</v>
      </c>
      <c r="C24" s="54"/>
      <c r="D24" s="29">
        <f>+IFERROR(C24/PD!C24*100,0)</f>
        <v>0</v>
      </c>
      <c r="E24" s="29"/>
      <c r="F24" s="29">
        <f>+IFERROR(C24/PD!M25*100,0)</f>
        <v>0</v>
      </c>
      <c r="G24" s="29"/>
      <c r="H24" s="28"/>
      <c r="I24" s="29">
        <f>+IFERROR(H24/PD!C25*100,0)</f>
        <v>0</v>
      </c>
      <c r="J24" s="29"/>
      <c r="K24" s="29">
        <f>+IFERROR(H24/PD!M25*100,0)</f>
        <v>0</v>
      </c>
      <c r="L24" s="29"/>
      <c r="M24" s="28"/>
      <c r="N24" s="29">
        <f>+IFERROR(M24/PD!C25*100,0)</f>
        <v>0</v>
      </c>
      <c r="O24" s="29"/>
      <c r="P24" s="29">
        <f>+IFERROR(M24/PD!M25*100,0)</f>
        <v>0</v>
      </c>
      <c r="Q24" s="55"/>
      <c r="R24" s="55"/>
      <c r="S24" s="55"/>
      <c r="T24" s="31"/>
      <c r="U24" s="31"/>
      <c r="V24" s="31"/>
      <c r="W24" s="31"/>
      <c r="X24" s="32"/>
      <c r="Y24" s="32"/>
      <c r="Z24" s="32"/>
    </row>
    <row r="25" spans="1:26" x14ac:dyDescent="0.25">
      <c r="A25" s="33">
        <v>11</v>
      </c>
      <c r="B25" s="53" t="s">
        <v>72</v>
      </c>
      <c r="C25" s="54"/>
      <c r="D25" s="29">
        <f>+IFERROR(C25/PD!C25*100,0)</f>
        <v>0</v>
      </c>
      <c r="E25" s="29"/>
      <c r="F25" s="29">
        <f>+IFERROR(C25/PD!M26*100,0)</f>
        <v>0</v>
      </c>
      <c r="G25" s="29"/>
      <c r="H25" s="28"/>
      <c r="I25" s="29">
        <f>+IFERROR(H25/PD!C26*100,0)</f>
        <v>0</v>
      </c>
      <c r="J25" s="29"/>
      <c r="K25" s="29">
        <f>+IFERROR(H25/PD!M26*100,0)</f>
        <v>0</v>
      </c>
      <c r="L25" s="29"/>
      <c r="M25" s="28"/>
      <c r="N25" s="29">
        <f>+IFERROR(M25/PD!C26*100,0)</f>
        <v>0</v>
      </c>
      <c r="O25" s="29"/>
      <c r="P25" s="29">
        <f>+IFERROR(M25/PD!M26*100,0)</f>
        <v>0</v>
      </c>
      <c r="Q25" s="55"/>
      <c r="R25" s="55"/>
      <c r="S25" s="55"/>
      <c r="T25" s="31"/>
      <c r="U25" s="31"/>
      <c r="V25" s="31"/>
      <c r="W25" s="31"/>
      <c r="X25" s="32"/>
      <c r="Y25" s="32"/>
      <c r="Z25" s="32"/>
    </row>
    <row r="26" spans="1:26" x14ac:dyDescent="0.25">
      <c r="A26" s="33">
        <v>12</v>
      </c>
      <c r="B26" s="53" t="s">
        <v>73</v>
      </c>
      <c r="C26" s="54"/>
      <c r="D26" s="29">
        <f>+IFERROR(C26/PD!C26*100,0)</f>
        <v>0</v>
      </c>
      <c r="E26" s="29"/>
      <c r="F26" s="29">
        <f>+IFERROR(C26/PD!M27*100,0)</f>
        <v>0</v>
      </c>
      <c r="G26" s="29"/>
      <c r="H26" s="28"/>
      <c r="I26" s="29">
        <f>+IFERROR(H26/PD!C27*100,0)</f>
        <v>0</v>
      </c>
      <c r="J26" s="29"/>
      <c r="K26" s="29">
        <f>+IFERROR(H26/PD!M27*100,0)</f>
        <v>0</v>
      </c>
      <c r="L26" s="29"/>
      <c r="M26" s="28"/>
      <c r="N26" s="29">
        <f>+IFERROR(M26/PD!C27*100,0)</f>
        <v>0</v>
      </c>
      <c r="O26" s="29"/>
      <c r="P26" s="29">
        <f>+IFERROR(M26/PD!M27*100,0)</f>
        <v>0</v>
      </c>
      <c r="Q26" s="55"/>
      <c r="R26" s="55"/>
      <c r="S26" s="55"/>
      <c r="T26" s="31"/>
      <c r="U26" s="31"/>
      <c r="V26" s="31"/>
      <c r="W26" s="31"/>
      <c r="X26" s="32"/>
      <c r="Y26" s="32"/>
      <c r="Z26" s="32"/>
    </row>
    <row r="27" spans="1:26" x14ac:dyDescent="0.25">
      <c r="A27" s="33">
        <v>13</v>
      </c>
      <c r="B27" s="53" t="s">
        <v>74</v>
      </c>
      <c r="C27" s="54"/>
      <c r="D27" s="29">
        <f>+IFERROR(C27/PD!C27*100,0)</f>
        <v>0</v>
      </c>
      <c r="E27" s="29"/>
      <c r="F27" s="29">
        <f>+IFERROR(C27/PD!M28*100,0)</f>
        <v>0</v>
      </c>
      <c r="G27" s="29"/>
      <c r="H27" s="28"/>
      <c r="I27" s="29">
        <f>+IFERROR(H27/PD!C28*100,0)</f>
        <v>0</v>
      </c>
      <c r="J27" s="29"/>
      <c r="K27" s="29">
        <f>+IFERROR(H27/PD!M28*100,0)</f>
        <v>0</v>
      </c>
      <c r="L27" s="29"/>
      <c r="M27" s="28"/>
      <c r="N27" s="29">
        <f>+IFERROR(M27/PD!C28*100,0)</f>
        <v>0</v>
      </c>
      <c r="O27" s="29"/>
      <c r="P27" s="29">
        <f>+IFERROR(M27/PD!M28*100,0)</f>
        <v>0</v>
      </c>
      <c r="Q27" s="55"/>
      <c r="R27" s="55"/>
      <c r="S27" s="55"/>
      <c r="T27" s="31"/>
      <c r="U27" s="31"/>
      <c r="V27" s="31"/>
      <c r="W27" s="31"/>
      <c r="X27" s="32"/>
      <c r="Y27" s="32"/>
      <c r="Z27" s="32"/>
    </row>
    <row r="28" spans="1:26" x14ac:dyDescent="0.25">
      <c r="A28" s="33">
        <v>14</v>
      </c>
      <c r="B28" s="53" t="s">
        <v>75</v>
      </c>
      <c r="C28" s="54"/>
      <c r="D28" s="29">
        <f>+IFERROR(C28/PD!C28*100,0)</f>
        <v>0</v>
      </c>
      <c r="E28" s="29"/>
      <c r="F28" s="29">
        <f>+IFERROR(C28/PD!M29*100,0)</f>
        <v>0</v>
      </c>
      <c r="G28" s="29"/>
      <c r="H28" s="28"/>
      <c r="I28" s="29">
        <f>+IFERROR(H28/PD!C29*100,0)</f>
        <v>0</v>
      </c>
      <c r="J28" s="29"/>
      <c r="K28" s="29">
        <f>+IFERROR(H28/PD!M29*100,0)</f>
        <v>0</v>
      </c>
      <c r="L28" s="29"/>
      <c r="M28" s="28"/>
      <c r="N28" s="29">
        <f>+IFERROR(M28/PD!C29*100,0)</f>
        <v>0</v>
      </c>
      <c r="O28" s="29"/>
      <c r="P28" s="29">
        <f>+IFERROR(M28/PD!M29*100,0)</f>
        <v>0</v>
      </c>
      <c r="Q28" s="55"/>
      <c r="R28" s="55"/>
      <c r="S28" s="55"/>
      <c r="T28" s="31"/>
      <c r="U28" s="31"/>
      <c r="V28" s="31"/>
      <c r="W28" s="31"/>
      <c r="X28" s="32"/>
      <c r="Y28" s="32"/>
      <c r="Z28" s="32"/>
    </row>
    <row r="29" spans="1:26" x14ac:dyDescent="0.25">
      <c r="A29" s="33">
        <v>15</v>
      </c>
      <c r="B29" s="53" t="s">
        <v>76</v>
      </c>
      <c r="C29" s="54"/>
      <c r="D29" s="29">
        <f>+IFERROR(C29/PD!C29*100,0)</f>
        <v>0</v>
      </c>
      <c r="E29" s="29"/>
      <c r="F29" s="29">
        <f>+IFERROR(C29/PD!M30*100,0)</f>
        <v>0</v>
      </c>
      <c r="G29" s="29"/>
      <c r="H29" s="28"/>
      <c r="I29" s="29">
        <f>+IFERROR(H29/PD!C30*100,0)</f>
        <v>0</v>
      </c>
      <c r="J29" s="29"/>
      <c r="K29" s="29">
        <f>+IFERROR(H29/PD!M30*100,0)</f>
        <v>0</v>
      </c>
      <c r="L29" s="29"/>
      <c r="M29" s="28"/>
      <c r="N29" s="29">
        <f>+IFERROR(M29/PD!C30*100,0)</f>
        <v>0</v>
      </c>
      <c r="O29" s="29"/>
      <c r="P29" s="29">
        <f>+IFERROR(M29/PD!M30*100,0)</f>
        <v>0</v>
      </c>
      <c r="Q29" s="55"/>
      <c r="R29" s="55"/>
      <c r="S29" s="55"/>
      <c r="T29" s="31"/>
      <c r="U29" s="31"/>
      <c r="V29" s="31"/>
      <c r="W29" s="31"/>
      <c r="X29" s="32"/>
      <c r="Y29" s="32"/>
      <c r="Z29" s="32"/>
    </row>
    <row r="30" spans="1:26" x14ac:dyDescent="0.25">
      <c r="A30" s="33">
        <v>16</v>
      </c>
      <c r="B30" s="53" t="s">
        <v>77</v>
      </c>
      <c r="C30" s="54"/>
      <c r="D30" s="29">
        <f>+IFERROR(C30/PD!C30*100,0)</f>
        <v>0</v>
      </c>
      <c r="E30" s="29"/>
      <c r="F30" s="29">
        <f>+IFERROR(C30/PD!M31*100,0)</f>
        <v>0</v>
      </c>
      <c r="G30" s="29"/>
      <c r="H30" s="28"/>
      <c r="I30" s="29">
        <f>+IFERROR(H30/PD!C31*100,0)</f>
        <v>0</v>
      </c>
      <c r="J30" s="29"/>
      <c r="K30" s="29">
        <f>+IFERROR(H30/PD!M31*100,0)</f>
        <v>0</v>
      </c>
      <c r="L30" s="29"/>
      <c r="M30" s="28"/>
      <c r="N30" s="29">
        <f>+IFERROR(M30/PD!C31*100,0)</f>
        <v>0</v>
      </c>
      <c r="O30" s="29"/>
      <c r="P30" s="29">
        <f>+IFERROR(M30/PD!M31*100,0)</f>
        <v>0</v>
      </c>
      <c r="Q30" s="55"/>
      <c r="R30" s="55"/>
      <c r="S30" s="55"/>
      <c r="T30" s="31"/>
      <c r="U30" s="31"/>
      <c r="V30" s="31"/>
      <c r="W30" s="31"/>
      <c r="X30" s="32"/>
      <c r="Y30" s="32"/>
      <c r="Z30" s="32"/>
    </row>
    <row r="31" spans="1:26" x14ac:dyDescent="0.25">
      <c r="A31" s="33">
        <v>17</v>
      </c>
      <c r="B31" s="53" t="s">
        <v>78</v>
      </c>
      <c r="C31" s="54"/>
      <c r="D31" s="29">
        <f>+IFERROR(C31/PD!C31*100,0)</f>
        <v>0</v>
      </c>
      <c r="E31" s="29"/>
      <c r="F31" s="29">
        <f>+IFERROR(C31/PD!M32*100,0)</f>
        <v>0</v>
      </c>
      <c r="G31" s="29"/>
      <c r="H31" s="28"/>
      <c r="I31" s="29">
        <f>+IFERROR(H31/PD!C32*100,0)</f>
        <v>0</v>
      </c>
      <c r="J31" s="29"/>
      <c r="K31" s="29">
        <f>+IFERROR(H31/PD!M32*100,0)</f>
        <v>0</v>
      </c>
      <c r="L31" s="29"/>
      <c r="M31" s="28"/>
      <c r="N31" s="29">
        <f>+IFERROR(M31/PD!C32*100,0)</f>
        <v>0</v>
      </c>
      <c r="O31" s="29"/>
      <c r="P31" s="29">
        <f>+IFERROR(M31/PD!M32*100,0)</f>
        <v>0</v>
      </c>
      <c r="Q31" s="55"/>
      <c r="R31" s="55"/>
      <c r="S31" s="55"/>
      <c r="T31" s="31"/>
      <c r="U31" s="31"/>
      <c r="V31" s="31"/>
      <c r="W31" s="31"/>
      <c r="X31" s="32"/>
      <c r="Y31" s="32"/>
      <c r="Z31" s="32"/>
    </row>
    <row r="32" spans="1:26" ht="13" x14ac:dyDescent="0.3">
      <c r="B32" s="60" t="s">
        <v>80</v>
      </c>
      <c r="C32" s="61">
        <f>SUM(C14:C31)</f>
        <v>0</v>
      </c>
      <c r="D32" s="68"/>
      <c r="E32" s="68"/>
      <c r="F32" s="68"/>
      <c r="G32" s="68"/>
      <c r="H32" s="61">
        <f>SUM(H14:H31)</f>
        <v>0</v>
      </c>
      <c r="I32" s="68"/>
      <c r="J32" s="68"/>
      <c r="K32" s="68"/>
      <c r="L32" s="68"/>
      <c r="M32" s="61">
        <f>SUM(M14:M31)</f>
        <v>0</v>
      </c>
      <c r="N32" s="68"/>
      <c r="O32" s="68"/>
      <c r="P32" s="69"/>
      <c r="Q32" s="69"/>
      <c r="R32" s="69"/>
      <c r="S32" s="69"/>
    </row>
    <row r="35" spans="1:2" ht="13" x14ac:dyDescent="0.3">
      <c r="A35" s="66" t="s">
        <v>81</v>
      </c>
      <c r="B35" s="67">
        <v>2023</v>
      </c>
    </row>
    <row r="1048566" spans="16384:16384" x14ac:dyDescent="0.25">
      <c r="XFD1048566" s="77" t="str">
        <f>"Primer Trimestre"&amp;" "&amp;$B$35</f>
        <v>Primer Trimestre 2023</v>
      </c>
    </row>
    <row r="1048567" spans="16384:16384" x14ac:dyDescent="0.25">
      <c r="XFD1048567" s="77" t="str">
        <f>"Segundo Trimestre"&amp;" "&amp;$B$35</f>
        <v>Segundo Trimestre 2023</v>
      </c>
    </row>
    <row r="1048568" spans="16384:16384" x14ac:dyDescent="0.25">
      <c r="XFD1048568" s="77" t="str">
        <f>"Tercer Trimestre"&amp;" "&amp;$B$35</f>
        <v>Tercer Trimestre 2023</v>
      </c>
    </row>
    <row r="1048569" spans="16384:16384" x14ac:dyDescent="0.25">
      <c r="XFD1048569" s="77" t="str">
        <f>"Cuarto Trimestre"&amp;" "&amp;$B$35</f>
        <v>Cuarto Trimestre 2023</v>
      </c>
    </row>
  </sheetData>
  <mergeCells count="20">
    <mergeCell ref="N13:O13"/>
    <mergeCell ref="H11:H12"/>
    <mergeCell ref="I11:L11"/>
    <mergeCell ref="M11:M12"/>
    <mergeCell ref="A7:S7"/>
    <mergeCell ref="R13:S13"/>
    <mergeCell ref="M10:S10"/>
    <mergeCell ref="N11:S11"/>
    <mergeCell ref="A8:S8"/>
    <mergeCell ref="A10:A13"/>
    <mergeCell ref="B10:B13"/>
    <mergeCell ref="C10:G10"/>
    <mergeCell ref="H10:L10"/>
    <mergeCell ref="C11:C12"/>
    <mergeCell ref="D11:G11"/>
    <mergeCell ref="D13:E13"/>
    <mergeCell ref="P13:Q13"/>
    <mergeCell ref="F13:G13"/>
    <mergeCell ref="I13:J13"/>
    <mergeCell ref="K13:L13"/>
  </mergeCells>
  <dataValidations count="1">
    <dataValidation type="list" allowBlank="1" showInputMessage="1" showErrorMessage="1" sqref="S6" xr:uid="{5702C648-8439-4D3C-8715-26CA51EB4A22}">
      <formula1>$XFD$1048566:$XFD$1048569</formula1>
    </dataValidation>
  </dataValidations>
  <printOptions horizontalCentered="1"/>
  <pageMargins left="0.70866141732283472" right="0.70866141732283472" top="0.62992125984251968" bottom="0.55118110236220474" header="0.31496062992125984" footer="0.31496062992125984"/>
  <pageSetup scale="8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XFD1048573"/>
  <sheetViews>
    <sheetView showGridLines="0" tabSelected="1" zoomScale="80" zoomScaleNormal="80" workbookViewId="0">
      <pane ySplit="14" topLeftCell="A15" activePane="bottomLeft" state="frozen"/>
      <selection activeCell="I99" sqref="I99"/>
      <selection pane="bottomLeft" activeCell="B15" sqref="B15"/>
    </sheetView>
  </sheetViews>
  <sheetFormatPr baseColWidth="10" defaultColWidth="12" defaultRowHeight="12.5" x14ac:dyDescent="0.25"/>
  <cols>
    <col min="1" max="1" width="10.33203125" style="37" customWidth="1"/>
    <col min="2" max="2" width="60.77734375" style="6" bestFit="1" customWidth="1"/>
    <col min="3" max="3" width="11.44140625" style="31" bestFit="1" customWidth="1"/>
    <col min="4" max="4" width="9" style="31" bestFit="1" customWidth="1"/>
    <col min="5" max="5" width="6.44140625" style="31" bestFit="1" customWidth="1"/>
    <col min="6" max="6" width="11.44140625" style="31" bestFit="1" customWidth="1"/>
    <col min="7" max="7" width="9" style="31" bestFit="1" customWidth="1"/>
    <col min="8" max="8" width="6.44140625" style="31" bestFit="1" customWidth="1"/>
    <col min="9" max="9" width="12.6640625" style="31" bestFit="1" customWidth="1"/>
    <col min="10" max="11" width="8.6640625" style="31" bestFit="1" customWidth="1"/>
    <col min="12" max="12" width="7.109375" style="31" customWidth="1"/>
    <col min="13" max="13" width="6.44140625" style="31" bestFit="1" customWidth="1"/>
    <col min="14" max="14" width="12.6640625" style="31" bestFit="1" customWidth="1"/>
    <col min="15" max="16" width="8.6640625" style="31" bestFit="1" customWidth="1"/>
    <col min="17" max="17" width="8.6640625" style="31" customWidth="1"/>
    <col min="18" max="18" width="11.6640625" style="31" customWidth="1"/>
    <col min="19" max="16384" width="12" style="6"/>
  </cols>
  <sheetData>
    <row r="6" spans="1:18" ht="28.5" customHeight="1" x14ac:dyDescent="0.25">
      <c r="A6" s="38" t="s">
        <v>60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39" t="s">
        <v>61</v>
      </c>
    </row>
    <row r="7" spans="1:18" s="70" customFormat="1" ht="13" x14ac:dyDescent="0.3">
      <c r="A7" s="114" t="s">
        <v>0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</row>
    <row r="8" spans="1:18" s="70" customFormat="1" ht="13" x14ac:dyDescent="0.3">
      <c r="A8" s="114" t="s">
        <v>82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</row>
    <row r="9" spans="1:18" s="70" customFormat="1" ht="13" thickBot="1" x14ac:dyDescent="0.3">
      <c r="F9" s="71"/>
      <c r="G9" s="72"/>
      <c r="K9" s="72"/>
      <c r="N9" s="72"/>
      <c r="R9" s="71" t="s">
        <v>1</v>
      </c>
    </row>
    <row r="10" spans="1:18" s="1" customFormat="1" ht="13.5" customHeight="1" thickBot="1" x14ac:dyDescent="0.3">
      <c r="A10" s="81" t="s">
        <v>2</v>
      </c>
      <c r="B10" s="81" t="s">
        <v>3</v>
      </c>
      <c r="C10" s="101" t="s">
        <v>18</v>
      </c>
      <c r="D10" s="102"/>
      <c r="E10" s="90"/>
      <c r="F10" s="101" t="s">
        <v>52</v>
      </c>
      <c r="G10" s="102"/>
      <c r="H10" s="90"/>
      <c r="I10" s="101" t="s">
        <v>19</v>
      </c>
      <c r="J10" s="102"/>
      <c r="K10" s="90"/>
      <c r="L10" s="115" t="s">
        <v>20</v>
      </c>
      <c r="M10" s="116"/>
      <c r="N10" s="101" t="s">
        <v>21</v>
      </c>
      <c r="O10" s="102"/>
      <c r="P10" s="102"/>
      <c r="Q10" s="115" t="s">
        <v>22</v>
      </c>
      <c r="R10" s="116"/>
    </row>
    <row r="11" spans="1:18" s="1" customFormat="1" ht="13" thickBot="1" x14ac:dyDescent="0.3">
      <c r="A11" s="82"/>
      <c r="B11" s="82"/>
      <c r="C11" s="92" t="s">
        <v>10</v>
      </c>
      <c r="D11" s="78" t="s">
        <v>12</v>
      </c>
      <c r="E11" s="79"/>
      <c r="F11" s="92" t="s">
        <v>10</v>
      </c>
      <c r="G11" s="78" t="s">
        <v>12</v>
      </c>
      <c r="H11" s="79"/>
      <c r="I11" s="10" t="s">
        <v>10</v>
      </c>
      <c r="J11" s="78" t="s">
        <v>12</v>
      </c>
      <c r="K11" s="79"/>
      <c r="L11" s="117"/>
      <c r="M11" s="118"/>
      <c r="N11" s="10" t="s">
        <v>10</v>
      </c>
      <c r="O11" s="78" t="s">
        <v>12</v>
      </c>
      <c r="P11" s="113"/>
      <c r="Q11" s="117"/>
      <c r="R11" s="118"/>
    </row>
    <row r="12" spans="1:18" s="1" customFormat="1" ht="13" thickBot="1" x14ac:dyDescent="0.3">
      <c r="A12" s="82"/>
      <c r="B12" s="82"/>
      <c r="C12" s="93"/>
      <c r="D12" s="13">
        <f>+B35</f>
        <v>2023</v>
      </c>
      <c r="E12" s="13">
        <f>+D12-1</f>
        <v>2022</v>
      </c>
      <c r="F12" s="93"/>
      <c r="G12" s="13">
        <f>+$B35</f>
        <v>2023</v>
      </c>
      <c r="H12" s="13">
        <f>+G12-1</f>
        <v>2022</v>
      </c>
      <c r="I12" s="16"/>
      <c r="J12" s="13">
        <f>+$B35</f>
        <v>2023</v>
      </c>
      <c r="K12" s="13">
        <f>+J12-1</f>
        <v>2022</v>
      </c>
      <c r="L12" s="78" t="s">
        <v>10</v>
      </c>
      <c r="M12" s="79"/>
      <c r="N12" s="62"/>
      <c r="O12" s="13">
        <f>+$B35</f>
        <v>2023</v>
      </c>
      <c r="P12" s="13">
        <f>+O12-1</f>
        <v>2022</v>
      </c>
      <c r="Q12" s="13">
        <f>+$B35</f>
        <v>2023</v>
      </c>
      <c r="R12" s="13">
        <f>+Q12-1</f>
        <v>2022</v>
      </c>
    </row>
    <row r="13" spans="1:18" s="1" customFormat="1" ht="13" x14ac:dyDescent="0.3">
      <c r="A13" s="83"/>
      <c r="B13" s="83"/>
      <c r="C13" s="19" t="s">
        <v>25</v>
      </c>
      <c r="D13" s="94" t="s">
        <v>26</v>
      </c>
      <c r="E13" s="94"/>
      <c r="F13" s="19" t="s">
        <v>27</v>
      </c>
      <c r="G13" s="94" t="s">
        <v>28</v>
      </c>
      <c r="H13" s="94"/>
      <c r="I13" s="19" t="s">
        <v>29</v>
      </c>
      <c r="J13" s="104" t="s">
        <v>30</v>
      </c>
      <c r="K13" s="105"/>
      <c r="L13" s="73">
        <v>2020</v>
      </c>
      <c r="M13" s="74">
        <v>2019</v>
      </c>
      <c r="N13" s="19" t="s">
        <v>53</v>
      </c>
      <c r="O13" s="104" t="s">
        <v>59</v>
      </c>
      <c r="P13" s="105"/>
      <c r="Q13" s="119" t="s">
        <v>12</v>
      </c>
      <c r="R13" s="120"/>
    </row>
    <row r="14" spans="1:18" s="1" customFormat="1" ht="2.25" customHeight="1" x14ac:dyDescent="0.25">
      <c r="A14" s="21"/>
      <c r="B14" s="21"/>
      <c r="C14" s="49"/>
      <c r="D14" s="22"/>
      <c r="E14" s="22"/>
      <c r="F14" s="49"/>
      <c r="G14" s="22"/>
      <c r="H14" s="22"/>
      <c r="I14" s="49"/>
      <c r="J14" s="22"/>
      <c r="K14" s="22"/>
      <c r="L14" s="75"/>
      <c r="M14" s="49"/>
      <c r="N14" s="49"/>
      <c r="O14" s="22"/>
      <c r="P14" s="22"/>
      <c r="Q14" s="76"/>
      <c r="R14" s="76"/>
    </row>
    <row r="15" spans="1:18" x14ac:dyDescent="0.25">
      <c r="A15" s="26">
        <v>1</v>
      </c>
      <c r="B15" s="27" t="s">
        <v>62</v>
      </c>
      <c r="C15" s="28"/>
      <c r="D15" s="29">
        <f>+IFERROR(C15/PD!C16*100,0)</f>
        <v>0</v>
      </c>
      <c r="E15" s="29"/>
      <c r="F15" s="28"/>
      <c r="G15" s="29">
        <f>+IFERROR(F15/PD!C16*100,0)</f>
        <v>0</v>
      </c>
      <c r="H15" s="29"/>
      <c r="I15" s="28"/>
      <c r="J15" s="29">
        <f>+IFERROR(I15/PD!C15*100,0)</f>
        <v>0</v>
      </c>
      <c r="K15" s="29"/>
      <c r="L15" s="28">
        <v>0</v>
      </c>
      <c r="M15" s="28">
        <v>0</v>
      </c>
      <c r="N15" s="28"/>
      <c r="O15" s="29">
        <f>+IFERROR(N15/PD!C15*100,0)</f>
        <v>0</v>
      </c>
      <c r="P15" s="29"/>
      <c r="Q15" s="29"/>
      <c r="R15" s="29"/>
    </row>
    <row r="16" spans="1:18" x14ac:dyDescent="0.25">
      <c r="A16" s="26">
        <v>2</v>
      </c>
      <c r="B16" s="27" t="s">
        <v>66</v>
      </c>
      <c r="C16" s="28"/>
      <c r="D16" s="29">
        <f>+IFERROR(C16/PD!C17*100,0)</f>
        <v>0</v>
      </c>
      <c r="E16" s="29"/>
      <c r="F16" s="28"/>
      <c r="G16" s="29">
        <f>+IFERROR(F16/PD!C17*100,0)</f>
        <v>0</v>
      </c>
      <c r="H16" s="29"/>
      <c r="I16" s="28"/>
      <c r="J16" s="29">
        <f>+IFERROR(I16/PD!C16*100,0)</f>
        <v>0</v>
      </c>
      <c r="K16" s="29"/>
      <c r="L16" s="28">
        <v>0</v>
      </c>
      <c r="M16" s="28">
        <v>0</v>
      </c>
      <c r="N16" s="28"/>
      <c r="O16" s="29">
        <f>+IFERROR(N16/PD!C16*100,0)</f>
        <v>0</v>
      </c>
      <c r="P16" s="29"/>
      <c r="Q16" s="29"/>
      <c r="R16" s="29"/>
    </row>
    <row r="17" spans="1:18" x14ac:dyDescent="0.25">
      <c r="A17" s="26">
        <v>3</v>
      </c>
      <c r="B17" s="27" t="s">
        <v>64</v>
      </c>
      <c r="C17" s="28"/>
      <c r="D17" s="29">
        <f>+IFERROR(C17/PD!C18*100,0)</f>
        <v>0</v>
      </c>
      <c r="E17" s="29"/>
      <c r="F17" s="28"/>
      <c r="G17" s="29">
        <f>+IFERROR(F17/PD!C18*100,0)</f>
        <v>0</v>
      </c>
      <c r="H17" s="29"/>
      <c r="I17" s="28"/>
      <c r="J17" s="29">
        <f>+IFERROR(I17/PD!C17*100,0)</f>
        <v>0</v>
      </c>
      <c r="K17" s="29"/>
      <c r="L17" s="28">
        <v>0</v>
      </c>
      <c r="M17" s="28">
        <v>0</v>
      </c>
      <c r="N17" s="28"/>
      <c r="O17" s="29">
        <f>+IFERROR(N17/PD!C17*100,0)</f>
        <v>0</v>
      </c>
      <c r="P17" s="29"/>
      <c r="Q17" s="29"/>
      <c r="R17" s="29"/>
    </row>
    <row r="18" spans="1:18" x14ac:dyDescent="0.25">
      <c r="A18" s="26">
        <v>4</v>
      </c>
      <c r="B18" s="27" t="s">
        <v>65</v>
      </c>
      <c r="C18" s="28"/>
      <c r="D18" s="29">
        <f>+IFERROR(C18/PD!C19*100,0)</f>
        <v>0</v>
      </c>
      <c r="E18" s="29"/>
      <c r="F18" s="28"/>
      <c r="G18" s="29">
        <f>+IFERROR(F18/PD!C19*100,0)</f>
        <v>0</v>
      </c>
      <c r="H18" s="29"/>
      <c r="I18" s="28"/>
      <c r="J18" s="29">
        <f>+IFERROR(I18/PD!C18*100,0)</f>
        <v>0</v>
      </c>
      <c r="K18" s="29"/>
      <c r="L18" s="28">
        <v>0</v>
      </c>
      <c r="M18" s="28">
        <v>0</v>
      </c>
      <c r="N18" s="28"/>
      <c r="O18" s="29">
        <f>+IFERROR(N18/PD!C18*100,0)</f>
        <v>0</v>
      </c>
      <c r="P18" s="29"/>
      <c r="Q18" s="29"/>
      <c r="R18" s="29"/>
    </row>
    <row r="19" spans="1:18" x14ac:dyDescent="0.25">
      <c r="A19" s="33">
        <v>5</v>
      </c>
      <c r="B19" s="53" t="s">
        <v>63</v>
      </c>
      <c r="C19" s="54"/>
      <c r="D19" s="29">
        <f>+IFERROR(C19/PD!C20*100,0)</f>
        <v>0</v>
      </c>
      <c r="E19" s="55"/>
      <c r="F19" s="54"/>
      <c r="G19" s="29">
        <f>+IFERROR(F19/PD!C20*100,0)</f>
        <v>0</v>
      </c>
      <c r="H19" s="55"/>
      <c r="I19" s="54"/>
      <c r="J19" s="29">
        <f>+IFERROR(I19/PD!C19*100,0)</f>
        <v>0</v>
      </c>
      <c r="K19" s="55"/>
      <c r="L19" s="54">
        <v>0</v>
      </c>
      <c r="M19" s="54">
        <v>0</v>
      </c>
      <c r="N19" s="54"/>
      <c r="O19" s="29">
        <f>+IFERROR(N19/PD!C19*100,0)</f>
        <v>0</v>
      </c>
      <c r="P19" s="55"/>
      <c r="Q19" s="55"/>
      <c r="R19" s="55"/>
    </row>
    <row r="20" spans="1:18" x14ac:dyDescent="0.25">
      <c r="A20" s="33">
        <v>6</v>
      </c>
      <c r="B20" s="53" t="s">
        <v>67</v>
      </c>
      <c r="C20" s="54"/>
      <c r="D20" s="29">
        <f>+IFERROR(C20/PD!C21*100,0)</f>
        <v>0</v>
      </c>
      <c r="E20" s="55"/>
      <c r="F20" s="54"/>
      <c r="G20" s="29">
        <f>+IFERROR(F20/PD!C21*100,0)</f>
        <v>0</v>
      </c>
      <c r="H20" s="55"/>
      <c r="I20" s="54"/>
      <c r="J20" s="29">
        <f>+IFERROR(I20/PD!C20*100,0)</f>
        <v>0</v>
      </c>
      <c r="K20" s="55"/>
      <c r="L20" s="54">
        <v>0</v>
      </c>
      <c r="M20" s="54">
        <v>0</v>
      </c>
      <c r="N20" s="54"/>
      <c r="O20" s="29">
        <f>+IFERROR(N20/PD!C20*100,0)</f>
        <v>0</v>
      </c>
      <c r="P20" s="55"/>
      <c r="Q20" s="55"/>
      <c r="R20" s="55"/>
    </row>
    <row r="21" spans="1:18" x14ac:dyDescent="0.25">
      <c r="A21" s="33">
        <v>7</v>
      </c>
      <c r="B21" s="53" t="s">
        <v>68</v>
      </c>
      <c r="C21" s="28"/>
      <c r="D21" s="29">
        <f>+IFERROR(C21/PD!C22*100,0)</f>
        <v>0</v>
      </c>
      <c r="E21" s="29"/>
      <c r="F21" s="28"/>
      <c r="G21" s="29">
        <f>+IFERROR(F21/PD!C22*100,0)</f>
        <v>0</v>
      </c>
      <c r="H21" s="29"/>
      <c r="I21" s="28"/>
      <c r="J21" s="29">
        <f>+IFERROR(I21/PD!C21*100,0)</f>
        <v>0</v>
      </c>
      <c r="K21" s="29"/>
      <c r="L21" s="28">
        <v>0</v>
      </c>
      <c r="M21" s="28">
        <v>0</v>
      </c>
      <c r="N21" s="28"/>
      <c r="O21" s="29">
        <f>+IFERROR(N21/PD!C21*100,0)</f>
        <v>0</v>
      </c>
      <c r="P21" s="29"/>
      <c r="Q21" s="29"/>
      <c r="R21" s="29"/>
    </row>
    <row r="22" spans="1:18" x14ac:dyDescent="0.25">
      <c r="A22" s="33">
        <v>8</v>
      </c>
      <c r="B22" s="53" t="s">
        <v>69</v>
      </c>
      <c r="C22" s="28"/>
      <c r="D22" s="29">
        <f>+IFERROR(C22/PD!C23*100,0)</f>
        <v>0</v>
      </c>
      <c r="E22" s="29"/>
      <c r="F22" s="28"/>
      <c r="G22" s="29">
        <f>+IFERROR(F22/PD!C23*100,0)</f>
        <v>0</v>
      </c>
      <c r="H22" s="29"/>
      <c r="I22" s="28"/>
      <c r="J22" s="29">
        <f>+IFERROR(I22/PD!C22*100,0)</f>
        <v>0</v>
      </c>
      <c r="K22" s="29"/>
      <c r="L22" s="28">
        <v>0</v>
      </c>
      <c r="M22" s="28">
        <v>0</v>
      </c>
      <c r="N22" s="28"/>
      <c r="O22" s="29">
        <f>+IFERROR(N22/PD!C22*100,0)</f>
        <v>0</v>
      </c>
      <c r="P22" s="29"/>
      <c r="Q22" s="29"/>
      <c r="R22" s="29"/>
    </row>
    <row r="23" spans="1:18" x14ac:dyDescent="0.25">
      <c r="A23" s="33">
        <v>9</v>
      </c>
      <c r="B23" s="53" t="s">
        <v>70</v>
      </c>
      <c r="C23" s="28"/>
      <c r="D23" s="29">
        <f>+IFERROR(C23/PD!C24*100,0)</f>
        <v>0</v>
      </c>
      <c r="E23" s="29"/>
      <c r="F23" s="28"/>
      <c r="G23" s="29">
        <f>+IFERROR(F23/PD!C24*100,0)</f>
        <v>0</v>
      </c>
      <c r="H23" s="29"/>
      <c r="I23" s="28"/>
      <c r="J23" s="29">
        <f>+IFERROR(I23/PD!C23*100,0)</f>
        <v>0</v>
      </c>
      <c r="K23" s="29"/>
      <c r="L23" s="28">
        <v>0</v>
      </c>
      <c r="M23" s="28">
        <v>0</v>
      </c>
      <c r="N23" s="28"/>
      <c r="O23" s="29">
        <f>+IFERROR(N23/PD!C23*100,0)</f>
        <v>0</v>
      </c>
      <c r="P23" s="29"/>
      <c r="Q23" s="29"/>
      <c r="R23" s="29"/>
    </row>
    <row r="24" spans="1:18" x14ac:dyDescent="0.25">
      <c r="A24" s="33">
        <v>10</v>
      </c>
      <c r="B24" s="53" t="s">
        <v>71</v>
      </c>
      <c r="C24" s="28"/>
      <c r="D24" s="29">
        <f>+IFERROR(C24/PD!C25*100,0)</f>
        <v>0</v>
      </c>
      <c r="E24" s="29"/>
      <c r="F24" s="28"/>
      <c r="G24" s="29">
        <f>+IFERROR(F24/PD!C25*100,0)</f>
        <v>0</v>
      </c>
      <c r="H24" s="29"/>
      <c r="I24" s="28"/>
      <c r="J24" s="29">
        <f>+IFERROR(I24/PD!C24*100,0)</f>
        <v>0</v>
      </c>
      <c r="K24" s="29"/>
      <c r="L24" s="28">
        <v>0</v>
      </c>
      <c r="M24" s="28">
        <v>0</v>
      </c>
      <c r="N24" s="28"/>
      <c r="O24" s="29">
        <f>+IFERROR(N24/PD!C24*100,0)</f>
        <v>0</v>
      </c>
      <c r="P24" s="29"/>
      <c r="Q24" s="29"/>
      <c r="R24" s="29"/>
    </row>
    <row r="25" spans="1:18" x14ac:dyDescent="0.25">
      <c r="A25" s="33">
        <v>11</v>
      </c>
      <c r="B25" s="53" t="s">
        <v>72</v>
      </c>
      <c r="C25" s="28"/>
      <c r="D25" s="29">
        <f>+IFERROR(C25/PD!C26*100,0)</f>
        <v>0</v>
      </c>
      <c r="E25" s="29"/>
      <c r="F25" s="28"/>
      <c r="G25" s="29">
        <f>+IFERROR(F25/PD!C26*100,0)</f>
        <v>0</v>
      </c>
      <c r="H25" s="29"/>
      <c r="I25" s="28"/>
      <c r="J25" s="29">
        <f>+IFERROR(I25/PD!C25*100,0)</f>
        <v>0</v>
      </c>
      <c r="K25" s="29"/>
      <c r="L25" s="28">
        <v>0</v>
      </c>
      <c r="M25" s="28">
        <v>0</v>
      </c>
      <c r="N25" s="28"/>
      <c r="O25" s="29">
        <f>+IFERROR(N25/PD!C25*100,0)</f>
        <v>0</v>
      </c>
      <c r="P25" s="29"/>
      <c r="Q25" s="29"/>
      <c r="R25" s="29"/>
    </row>
    <row r="26" spans="1:18" x14ac:dyDescent="0.25">
      <c r="A26" s="33">
        <v>12</v>
      </c>
      <c r="B26" s="53" t="s">
        <v>73</v>
      </c>
      <c r="C26" s="28"/>
      <c r="D26" s="29">
        <f>+IFERROR(C26/PD!C27*100,0)</f>
        <v>0</v>
      </c>
      <c r="E26" s="29"/>
      <c r="F26" s="28"/>
      <c r="G26" s="29">
        <f>+IFERROR(F26/PD!C27*100,0)</f>
        <v>0</v>
      </c>
      <c r="H26" s="29"/>
      <c r="I26" s="28"/>
      <c r="J26" s="29">
        <f>+IFERROR(I26/PD!C26*100,0)</f>
        <v>0</v>
      </c>
      <c r="K26" s="29"/>
      <c r="L26" s="28">
        <v>0</v>
      </c>
      <c r="M26" s="28">
        <v>0</v>
      </c>
      <c r="N26" s="28"/>
      <c r="O26" s="29">
        <f>+IFERROR(N26/PD!C26*100,0)</f>
        <v>0</v>
      </c>
      <c r="P26" s="29"/>
      <c r="Q26" s="29"/>
      <c r="R26" s="29"/>
    </row>
    <row r="27" spans="1:18" x14ac:dyDescent="0.25">
      <c r="A27" s="33">
        <v>13</v>
      </c>
      <c r="B27" s="53" t="s">
        <v>74</v>
      </c>
      <c r="C27" s="28"/>
      <c r="D27" s="29">
        <f>+IFERROR(C27/PD!C28*100,0)</f>
        <v>0</v>
      </c>
      <c r="E27" s="29"/>
      <c r="F27" s="28"/>
      <c r="G27" s="29">
        <f>+IFERROR(F27/PD!C28*100,0)</f>
        <v>0</v>
      </c>
      <c r="H27" s="29"/>
      <c r="I27" s="28"/>
      <c r="J27" s="29">
        <f>+IFERROR(I27/PD!C27*100,0)</f>
        <v>0</v>
      </c>
      <c r="K27" s="29"/>
      <c r="L27" s="28">
        <v>0</v>
      </c>
      <c r="M27" s="28">
        <v>0</v>
      </c>
      <c r="N27" s="28"/>
      <c r="O27" s="29">
        <f>+IFERROR(N27/PD!C27*100,0)</f>
        <v>0</v>
      </c>
      <c r="P27" s="29"/>
      <c r="Q27" s="29"/>
      <c r="R27" s="29"/>
    </row>
    <row r="28" spans="1:18" x14ac:dyDescent="0.25">
      <c r="A28" s="33">
        <v>14</v>
      </c>
      <c r="B28" s="53" t="s">
        <v>75</v>
      </c>
      <c r="C28" s="28"/>
      <c r="D28" s="29">
        <f>+IFERROR(C28/PD!C29*100,0)</f>
        <v>0</v>
      </c>
      <c r="E28" s="29"/>
      <c r="F28" s="28"/>
      <c r="G28" s="29">
        <f>+IFERROR(F28/PD!C29*100,0)</f>
        <v>0</v>
      </c>
      <c r="H28" s="29"/>
      <c r="I28" s="28"/>
      <c r="J28" s="29">
        <f>+IFERROR(I28/PD!C28*100,0)</f>
        <v>0</v>
      </c>
      <c r="K28" s="29"/>
      <c r="L28" s="28">
        <v>0</v>
      </c>
      <c r="M28" s="28">
        <v>0</v>
      </c>
      <c r="N28" s="28"/>
      <c r="O28" s="29">
        <f>+IFERROR(N28/PD!C28*100,0)</f>
        <v>0</v>
      </c>
      <c r="P28" s="29"/>
      <c r="Q28" s="29"/>
      <c r="R28" s="29"/>
    </row>
    <row r="29" spans="1:18" x14ac:dyDescent="0.25">
      <c r="A29" s="33">
        <v>15</v>
      </c>
      <c r="B29" s="53" t="s">
        <v>76</v>
      </c>
      <c r="C29" s="28"/>
      <c r="D29" s="29">
        <f>+IFERROR(C29/PD!C30*100,0)</f>
        <v>0</v>
      </c>
      <c r="E29" s="29"/>
      <c r="F29" s="28"/>
      <c r="G29" s="29">
        <f>+IFERROR(F29/PD!C30*100,0)</f>
        <v>0</v>
      </c>
      <c r="H29" s="29"/>
      <c r="I29" s="28"/>
      <c r="J29" s="29">
        <f>+IFERROR(I29/PD!C29*100,0)</f>
        <v>0</v>
      </c>
      <c r="K29" s="29"/>
      <c r="L29" s="28">
        <v>0</v>
      </c>
      <c r="M29" s="28">
        <v>0</v>
      </c>
      <c r="N29" s="28"/>
      <c r="O29" s="29">
        <f>+IFERROR(N29/PD!C29*100,0)</f>
        <v>0</v>
      </c>
      <c r="P29" s="29"/>
      <c r="Q29" s="29"/>
      <c r="R29" s="29"/>
    </row>
    <row r="30" spans="1:18" x14ac:dyDescent="0.25">
      <c r="A30" s="33">
        <v>16</v>
      </c>
      <c r="B30" s="53" t="s">
        <v>77</v>
      </c>
      <c r="C30" s="54"/>
      <c r="D30" s="29">
        <f>+IFERROR(C30/PD!C31*100,0)</f>
        <v>0</v>
      </c>
      <c r="E30" s="55"/>
      <c r="F30" s="54"/>
      <c r="G30" s="29">
        <f>+IFERROR(F30/PD!C31*100,0)</f>
        <v>0</v>
      </c>
      <c r="H30" s="55"/>
      <c r="I30" s="54"/>
      <c r="J30" s="29">
        <f>+IFERROR(I30/PD!C30*100,0)</f>
        <v>0</v>
      </c>
      <c r="K30" s="55"/>
      <c r="L30" s="54">
        <v>0</v>
      </c>
      <c r="M30" s="54">
        <v>0</v>
      </c>
      <c r="N30" s="54"/>
      <c r="O30" s="29">
        <f>+IFERROR(N30/PD!C30*100,0)</f>
        <v>0</v>
      </c>
      <c r="P30" s="55"/>
      <c r="Q30" s="55"/>
      <c r="R30" s="55"/>
    </row>
    <row r="31" spans="1:18" x14ac:dyDescent="0.25">
      <c r="A31" s="33">
        <v>17</v>
      </c>
      <c r="B31" s="53" t="s">
        <v>78</v>
      </c>
      <c r="C31" s="54"/>
      <c r="D31" s="29">
        <f>+IFERROR(C31/PD!C32*100,0)</f>
        <v>0</v>
      </c>
      <c r="E31" s="55"/>
      <c r="F31" s="54"/>
      <c r="G31" s="29">
        <f>+IFERROR(F31/PD!C32*100,0)</f>
        <v>0</v>
      </c>
      <c r="H31" s="55"/>
      <c r="I31" s="54"/>
      <c r="J31" s="29">
        <f>+IFERROR(I31/PD!C31*100,0)</f>
        <v>0</v>
      </c>
      <c r="K31" s="55"/>
      <c r="L31" s="54">
        <v>0</v>
      </c>
      <c r="M31" s="54">
        <v>0</v>
      </c>
      <c r="N31" s="54"/>
      <c r="O31" s="29">
        <f>+IFERROR(N31/PD!C31*100,0)</f>
        <v>0</v>
      </c>
      <c r="P31" s="55"/>
      <c r="Q31" s="55"/>
      <c r="R31" s="55"/>
    </row>
    <row r="32" spans="1:18" ht="13" x14ac:dyDescent="0.3">
      <c r="B32" s="60" t="s">
        <v>80</v>
      </c>
      <c r="C32" s="61">
        <f>SUM(C15:C31)</f>
        <v>0</v>
      </c>
      <c r="D32" s="61"/>
      <c r="E32" s="61"/>
      <c r="F32" s="61">
        <f>SUM(F15:F31)</f>
        <v>0</v>
      </c>
      <c r="G32" s="61"/>
      <c r="H32" s="61"/>
      <c r="I32" s="61">
        <f>SUM(I15:I31)</f>
        <v>0</v>
      </c>
      <c r="J32" s="61"/>
      <c r="K32" s="61">
        <f>SUM(K15:K31)</f>
        <v>0</v>
      </c>
      <c r="L32" s="61"/>
      <c r="M32" s="61"/>
      <c r="N32" s="61">
        <f>SUM(N15:N31)</f>
        <v>0</v>
      </c>
      <c r="O32" s="61"/>
      <c r="P32" s="61">
        <f>SUM(P15:P31)</f>
        <v>0</v>
      </c>
      <c r="Q32" s="61">
        <f>SUM(Q15:Q31)</f>
        <v>0</v>
      </c>
      <c r="R32" s="61">
        <f>SUM(R15:R31)</f>
        <v>0</v>
      </c>
    </row>
    <row r="35" spans="1:2" ht="13" x14ac:dyDescent="0.3">
      <c r="A35" s="66" t="s">
        <v>81</v>
      </c>
      <c r="B35" s="67">
        <v>2023</v>
      </c>
    </row>
    <row r="1048570" spans="16384:16384" x14ac:dyDescent="0.25">
      <c r="XFD1048570" s="77" t="str">
        <f>"Primer Trimestre"&amp;" "&amp;$B$35</f>
        <v>Primer Trimestre 2023</v>
      </c>
    </row>
    <row r="1048571" spans="16384:16384" x14ac:dyDescent="0.25">
      <c r="XFD1048571" s="77" t="str">
        <f>"Segundo Trimestre"&amp;" "&amp;$B$35</f>
        <v>Segundo Trimestre 2023</v>
      </c>
    </row>
    <row r="1048572" spans="16384:16384" x14ac:dyDescent="0.25">
      <c r="XFD1048572" s="77" t="str">
        <f>"Tercer Trimestre"&amp;" "&amp;$B$35</f>
        <v>Tercer Trimestre 2023</v>
      </c>
    </row>
    <row r="1048573" spans="16384:16384" x14ac:dyDescent="0.25">
      <c r="XFD1048573" s="77" t="str">
        <f>"Cuarto Trimestre"&amp;" "&amp;$B$35</f>
        <v>Cuarto Trimestre 2023</v>
      </c>
    </row>
  </sheetData>
  <mergeCells count="22">
    <mergeCell ref="O11:P11"/>
    <mergeCell ref="L12:M12"/>
    <mergeCell ref="D13:E13"/>
    <mergeCell ref="G13:H13"/>
    <mergeCell ref="J13:K13"/>
    <mergeCell ref="O13:P13"/>
    <mergeCell ref="A7:R7"/>
    <mergeCell ref="A8:R8"/>
    <mergeCell ref="A10:A13"/>
    <mergeCell ref="B10:B13"/>
    <mergeCell ref="C10:E10"/>
    <mergeCell ref="F10:H10"/>
    <mergeCell ref="I10:K10"/>
    <mergeCell ref="L10:M11"/>
    <mergeCell ref="N10:P10"/>
    <mergeCell ref="Q10:R11"/>
    <mergeCell ref="Q13:R13"/>
    <mergeCell ref="C11:C12"/>
    <mergeCell ref="D11:E11"/>
    <mergeCell ref="F11:F12"/>
    <mergeCell ref="G11:H11"/>
    <mergeCell ref="J11:K11"/>
  </mergeCells>
  <dataValidations count="1">
    <dataValidation type="list" allowBlank="1" showInputMessage="1" showErrorMessage="1" sqref="R6" xr:uid="{3F02D476-29C1-45C5-9C3E-AB1888D51193}">
      <formula1>$XFD$1048570:$XFD$1048573</formula1>
    </dataValidation>
  </dataValidations>
  <printOptions horizontalCentered="1"/>
  <pageMargins left="0.70866141732283472" right="0.70866141732283472" top="0.62992125984251968" bottom="0.55118110236220474" header="0.31496062992125984" footer="0.31496062992125984"/>
  <pageSetup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PD</vt:lpstr>
      <vt:lpstr>COB_EXC</vt:lpstr>
      <vt:lpstr>GTOSOP</vt:lpstr>
      <vt:lpstr>ORVAS</vt:lpstr>
      <vt:lpstr>COB_EXC!Área_de_impresión</vt:lpstr>
      <vt:lpstr>GTOSOP!Área_de_impresión</vt:lpstr>
      <vt:lpstr>ORVAS!Área_de_impresión</vt:lpstr>
      <vt:lpstr>PD!Área_de_impresión</vt:lpstr>
      <vt:lpstr>COB_EXC!Títulos_a_imprimir</vt:lpstr>
      <vt:lpstr>GTOSOP!Títulos_a_imprimir</vt:lpstr>
      <vt:lpstr>ORVAS!Títulos_a_imprimir</vt:lpstr>
      <vt:lpstr>PD!Títulos_a_imprimir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Montoya Betancourt</dc:creator>
  <cp:lastModifiedBy>Alfonso Exiga Sierra</cp:lastModifiedBy>
  <cp:lastPrinted>2020-08-18T04:05:31Z</cp:lastPrinted>
  <dcterms:created xsi:type="dcterms:W3CDTF">2013-08-05T14:49:22Z</dcterms:created>
  <dcterms:modified xsi:type="dcterms:W3CDTF">2023-09-27T21:27:19Z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