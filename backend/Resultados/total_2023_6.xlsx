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 activeTab="5"/>
  </bookViews>
  <sheets>
    <sheet sheetId="1" name="PD" state="visible" r:id="rId4"/>
    <sheet sheetId="2" name="COB_EXC" state="visible" r:id="rId5"/>
    <sheet sheetId="3" name="GTOSOP" state="visible" r:id="rId6"/>
    <sheet sheetId="4" name="ORVAS" state="visible" r:id="rId7"/>
    <sheet sheetId="11" name="IND. GESTION" state="visible" r:id="rId8"/>
    <sheet sheetId="12" name="ROE" state="visible" r:id="rId9"/>
  </sheets>
  <definedNames>
    <definedName name="_xlnm.Print_Area" localSheetId="0">'PD'!$A14:$U18</definedName>
    <definedName name="_xlnm.Print_Titles" localSheetId="0">'PD'!$6:$14</definedName>
    <definedName name="_xlnm.Print_Area" localSheetId="1">'COB_EXC'!$A15:$Q31</definedName>
    <definedName name="_xlnm.Print_Titles" localSheetId="1">'COB_EXC'!$6:$14</definedName>
    <definedName name="_xlnm.Print_Area" localSheetId="2">'GTOSOP'!$A15:$Q31</definedName>
    <definedName name="_xlnm.Print_Titles" localSheetId="2">'GTOSOP'!$6:$14</definedName>
    <definedName name="_xlnm.Print_Area" localSheetId="3">'ORVAS'!$A15:$P31</definedName>
    <definedName name="_xlnm.Print_Titles" localSheetId="3">'ORVAS'!$6:$14</definedName>
    <definedName name="_xlnm.Print_Area" localSheetId="4">'IND. GESTION'!$A15:$M49</definedName>
    <definedName name="_xlnm.Print_Titles" localSheetId="4">'IND. GESTION'!$6:$14</definedName>
    <definedName name="_xlnm.Print_Area" localSheetId="5">'ROE'!$A6:$G37</definedName>
    <definedName name="_xlnm.Print_Titles" localSheetId="5">'ROE'!$6:$11</definedName>
  </definedNames>
  <calcPr calcId="171027"/>
</workbook>
</file>

<file path=xl/sharedStrings.xml><?xml version="1.0" encoding="utf-8"?>
<sst xmlns="http://schemas.openxmlformats.org/spreadsheetml/2006/main" count="1735" uniqueCount="179">
  <si>
    <t>Asociación Mexicana de Garantías</t>
  </si>
  <si>
    <t>Segundo Trimestre 2023</t>
  </si>
  <si>
    <t>INDICES DE GESTION DEL ESTADO DE RESULTADOS POR COMPAÑÍA</t>
  </si>
  <si>
    <t>TOTAL GENERAL</t>
  </si>
  <si>
    <t>Posición</t>
  </si>
  <si>
    <t>Compañía</t>
  </si>
  <si>
    <t>Primas Directas</t>
  </si>
  <si>
    <t>Prima Tomada</t>
  </si>
  <si>
    <t>Prima Cedida</t>
  </si>
  <si>
    <t>Prima Retenida</t>
  </si>
  <si>
    <t>Inc. Rva. Riesgo Curso y Fianzas en VigorRet.</t>
  </si>
  <si>
    <t>Prima Devengada Retenida</t>
  </si>
  <si>
    <t>Importe</t>
  </si>
  <si>
    <t>Incremento</t>
  </si>
  <si>
    <t>Importe Prima Tomada</t>
  </si>
  <si>
    <t>%</t>
  </si>
  <si>
    <t xml:space="preserve"> 2 / Prima Emitida (Cuenta 510000)</t>
  </si>
  <si>
    <t>3 / 1</t>
  </si>
  <si>
    <t>4 / 1</t>
  </si>
  <si>
    <t>5 / 4</t>
  </si>
  <si>
    <t>6 / 4</t>
  </si>
  <si>
    <t>1</t>
  </si>
  <si>
    <t>Aseguradora Aserta, S.A. DE C.V.</t>
  </si>
  <si>
    <t>NaN</t>
  </si>
  <si>
    <t>1590557</t>
  </si>
  <si>
    <t>2.3</t>
  </si>
  <si>
    <t>78.5</t>
  </si>
  <si>
    <t>34249609.5</t>
  </si>
  <si>
    <t>68208</t>
  </si>
  <si>
    <t>0</t>
  </si>
  <si>
    <t>0.0</t>
  </si>
  <si>
    <t>-68208</t>
  </si>
  <si>
    <t>-1246470026</t>
  </si>
  <si>
    <t>2</t>
  </si>
  <si>
    <t>Aseguradora Insurgentes, S.A. de C.V.</t>
  </si>
  <si>
    <t>283977</t>
  </si>
  <si>
    <t>221223</t>
  </si>
  <si>
    <t>62754</t>
  </si>
  <si>
    <t>28.4</t>
  </si>
  <si>
    <t>407622</t>
  </si>
  <si>
    <t>143.5</t>
  </si>
  <si>
    <t>150.2</t>
  </si>
  <si>
    <t>100714</t>
  </si>
  <si>
    <t>35.5</t>
  </si>
  <si>
    <t>30.9</t>
  </si>
  <si>
    <t>590885</t>
  </si>
  <si>
    <t>48522820.9</t>
  </si>
  <si>
    <t>27454</t>
  </si>
  <si>
    <t>-27454</t>
  </si>
  <si>
    <t>-67785829</t>
  </si>
  <si>
    <t>3</t>
  </si>
  <si>
    <t>Inbursa Seguros de Caución y Fianzas, S.A.</t>
  </si>
  <si>
    <t>4</t>
  </si>
  <si>
    <t>Berkley International Fianzas México, S.A. DE C.V.</t>
  </si>
  <si>
    <t>5</t>
  </si>
  <si>
    <t>Chubb Fianzas Monterrey, Aseguradora de Caución, S.A.</t>
  </si>
  <si>
    <t>6</t>
  </si>
  <si>
    <t>Liberty Fianzas, S.A. de C.V.</t>
  </si>
  <si>
    <t>7</t>
  </si>
  <si>
    <t>Tokio Marine, S.A.</t>
  </si>
  <si>
    <t>8</t>
  </si>
  <si>
    <t>Fianzas y Cauciones Atlas, S.A.</t>
  </si>
  <si>
    <t>9</t>
  </si>
  <si>
    <t>Fianzas Avanza, S.A. de C.V.</t>
  </si>
  <si>
    <t>10</t>
  </si>
  <si>
    <t>AVLA Seguros. S. A de C.V.</t>
  </si>
  <si>
    <t>11</t>
  </si>
  <si>
    <t>Mapfre Fianzas, S.A. de C.V.</t>
  </si>
  <si>
    <t>12</t>
  </si>
  <si>
    <t>Cescemex, S.A. de C.V.</t>
  </si>
  <si>
    <t>13</t>
  </si>
  <si>
    <t>Crédito Afianzador, S.A.</t>
  </si>
  <si>
    <t>14</t>
  </si>
  <si>
    <t>Fianzas Asecam, S.A.</t>
  </si>
  <si>
    <t>15</t>
  </si>
  <si>
    <t>Fiducia, S.A.</t>
  </si>
  <si>
    <t>16</t>
  </si>
  <si>
    <t>Dorama, Institución de Garantías, S.A.</t>
  </si>
  <si>
    <t>17</t>
  </si>
  <si>
    <t>Sofimex, Institución de Garantías, S.A.</t>
  </si>
  <si>
    <t>Total</t>
  </si>
  <si>
    <t>Año</t>
  </si>
  <si>
    <t>(Miles de pesos)</t>
  </si>
  <si>
    <t>Cobertura Exc. de Pérdida</t>
  </si>
  <si>
    <t>Cto Adquisición Directo</t>
  </si>
  <si>
    <t>Costo Neto de Adquisición</t>
  </si>
  <si>
    <t>Cto. Siniestralidad Retenida</t>
  </si>
  <si>
    <t>Resultado Técnico</t>
  </si>
  <si>
    <t>7/4</t>
  </si>
  <si>
    <t>8/1</t>
  </si>
  <si>
    <t>9/4</t>
  </si>
  <si>
    <t>10/6</t>
  </si>
  <si>
    <t>11/1</t>
  </si>
  <si>
    <t>4779</t>
  </si>
  <si>
    <t>0.8</t>
  </si>
  <si>
    <t>1.2</t>
  </si>
  <si>
    <t>232803</t>
  </si>
  <si>
    <t>82.0</t>
  </si>
  <si>
    <t>88.5</t>
  </si>
  <si>
    <t>318301</t>
  </si>
  <si>
    <t>53.9</t>
  </si>
  <si>
    <t>66.8</t>
  </si>
  <si>
    <t>24.4</t>
  </si>
  <si>
    <t>112928</t>
  </si>
  <si>
    <t>Primer Trimestre 2023</t>
  </si>
  <si>
    <t>Gastos de Operación</t>
  </si>
  <si>
    <t>Resultado de Operación</t>
  </si>
  <si>
    <t>Producto Financiero</t>
  </si>
  <si>
    <t>13/1</t>
  </si>
  <si>
    <t>13/4</t>
  </si>
  <si>
    <t>14/1</t>
  </si>
  <si>
    <t>14/4</t>
  </si>
  <si>
    <t>15/1</t>
  </si>
  <si>
    <t>15/4</t>
  </si>
  <si>
    <t>118216</t>
  </si>
  <si>
    <t>41.6</t>
  </si>
  <si>
    <t>81.1</t>
  </si>
  <si>
    <t>20.0</t>
  </si>
  <si>
    <t>37.0</t>
  </si>
  <si>
    <t>60013</t>
  </si>
  <si>
    <t>21.1</t>
  </si>
  <si>
    <t>-53.2</t>
  </si>
  <si>
    <t>10.2</t>
  </si>
  <si>
    <t>-24.3</t>
  </si>
  <si>
    <t>86756</t>
  </si>
  <si>
    <t>30.6</t>
  </si>
  <si>
    <t>-14.0</t>
  </si>
  <si>
    <t>14.7</t>
  </si>
  <si>
    <t>-6.5</t>
  </si>
  <si>
    <t>Otras Reservas</t>
  </si>
  <si>
    <t>Rtado Particp. Inv. Perman.</t>
  </si>
  <si>
    <t>Impto. a la Utilidad</t>
  </si>
  <si>
    <t>Rtado en Subsidiarias y Op. Discontinuadas</t>
  </si>
  <si>
    <t>Resultado Neto</t>
  </si>
  <si>
    <t>16/1</t>
  </si>
  <si>
    <t>17/1</t>
  </si>
  <si>
    <t>18</t>
  </si>
  <si>
    <t>18/1</t>
  </si>
  <si>
    <t>19</t>
  </si>
  <si>
    <t>19/1</t>
  </si>
  <si>
    <t>-0.0</t>
  </si>
  <si>
    <t>-38</t>
  </si>
  <si>
    <t>40148</t>
  </si>
  <si>
    <t>516631</t>
  </si>
  <si>
    <t>536606</t>
  </si>
  <si>
    <t xml:space="preserve">TOTAL GENERAL </t>
  </si>
  <si>
    <t>Pos</t>
  </si>
  <si>
    <t>Apalancamiento Requerido</t>
  </si>
  <si>
    <t>Rentabilidad Asociada</t>
  </si>
  <si>
    <t>Rentabilidad Operativa</t>
  </si>
  <si>
    <t>EBITDA</t>
  </si>
  <si>
    <t>Importe       (Miles)</t>
  </si>
  <si>
    <t>VS. PD</t>
  </si>
  <si>
    <t>VS.CAP. PATRIM</t>
  </si>
  <si>
    <t>39059</t>
  </si>
  <si>
    <r>
      <rPr>
        <b/>
        <family val="2"/>
        <sz val="10"/>
        <rFont val="Arial"/>
      </rPr>
      <t>APALANCAMIENTO REQUERIDO</t>
    </r>
    <r>
      <rPr>
        <family val="2"/>
        <sz val="10"/>
        <rFont val="Arial"/>
      </rPr>
      <t xml:space="preserve">  =  PRIMA DIRECTA /  PROMEDIO DEL CAPITAL PATRIMONIAL</t>
    </r>
  </si>
  <si>
    <r>
      <rPr>
        <b/>
        <family val="2"/>
        <sz val="10"/>
        <rFont val="Arial"/>
      </rPr>
      <t>RENTABILIDAD   ASOCIADA</t>
    </r>
    <r>
      <rPr>
        <family val="2"/>
        <sz val="10"/>
        <rFont val="Arial"/>
      </rPr>
      <t xml:space="preserve">     =  ( RTADO OPERACIÓN  /  PROMEDIO DEL CAPITAL PATRIMONIAL ) * 100</t>
    </r>
  </si>
  <si>
    <r>
      <rPr>
        <b/>
        <family val="2"/>
        <sz val="10"/>
        <rFont val="Arial"/>
      </rPr>
      <t>RENTABILIDAD OPERATIVA</t>
    </r>
    <r>
      <rPr>
        <family val="2"/>
        <sz val="10"/>
        <rFont val="Arial"/>
      </rPr>
      <t xml:space="preserve">   =  ( RESULTADO NETO   / PROMEDIO CAPITAL CONTABLE ) *100</t>
    </r>
  </si>
  <si>
    <r>
      <rPr>
        <b/>
        <family val="2"/>
        <sz val="10"/>
        <rFont val="Arial"/>
      </rPr>
      <t>EBITDA</t>
    </r>
    <r>
      <rPr>
        <family val="2"/>
        <sz val="10"/>
        <rFont val="Arial"/>
      </rPr>
      <t xml:space="preserve">  =  RESULTADO DE OPERACIÓN  +  PRODUCTO FINANCIERO  +  DEPRECIACIONES Y AMORTIZACIONES</t>
    </r>
  </si>
  <si>
    <r>
      <rPr>
        <b/>
        <family val="2"/>
        <sz val="10"/>
        <rFont val="Arial"/>
      </rPr>
      <t>EBITDA Vs PD</t>
    </r>
    <r>
      <rPr>
        <family val="2"/>
        <sz val="10"/>
        <rFont val="Arial"/>
      </rPr>
      <t xml:space="preserve"> =  ( EBITDA / PRIMA DIRECTA ) * 100</t>
    </r>
  </si>
  <si>
    <r>
      <rPr>
        <b/>
        <family val="2"/>
        <sz val="10"/>
        <rFont val="Arial"/>
      </rPr>
      <t>EBITDA Vs CP</t>
    </r>
    <r>
      <rPr>
        <family val="2"/>
        <sz val="10"/>
        <rFont val="Arial"/>
      </rPr>
      <t xml:space="preserve"> =  ( EBITDA / PROMEDIO CAPITAL PATRIMONIAL ) *100</t>
    </r>
  </si>
  <si>
    <r>
      <t>PROM CAPITAL PATRIMONIAL =</t>
    </r>
    <r>
      <rPr>
        <u/>
        <family val="2"/>
        <sz val="10"/>
        <rFont val="Arial"/>
      </rPr>
      <t xml:space="preserve"> </t>
    </r>
    <r>
      <rPr>
        <family val="2"/>
        <sz val="10"/>
        <rFont val="Arial"/>
      </rPr>
      <t xml:space="preserve"> </t>
    </r>
    <r>
      <rPr>
        <u/>
        <family val="2"/>
        <sz val="10"/>
        <rFont val="Arial"/>
      </rPr>
      <t xml:space="preserve">(CAP CONTABLE AL INICIO DEL EJERCICIO + CAPITAL  CONTABLE AL FINAL DEL EJERCICIO)  +    (RVA CATASTROFICA AL INICIO DEL EJERCICIO + RVA CATASTROFICA AL FINAL DEL EJERCICIO)  </t>
    </r>
  </si>
  <si>
    <t>PROM CAPITAL CONTABLE =  (CAP CONTABLE AL INICIO DEL EJERCICIO + CAPITAL  CONTABLE AL FINAL DEL EJERCICIO)  / 2</t>
  </si>
  <si>
    <t xml:space="preserve">ROE  = </t>
  </si>
  <si>
    <t xml:space="preserve">RESULTADO NETO ANUALIZADO (RESULTADO NETO ACTUAL  / N° MESES) * 12 ) </t>
  </si>
  <si>
    <t>X      100</t>
  </si>
  <si>
    <t xml:space="preserve">CAPITAL CONTABLE ANUALIZADO (CAP CONTABLE ACTUAL  +  RTADO NETO ANUALIZADO - RTADO NETO ACTUAL  + CAPITAL CONTABLE DIC_ANTERIOR)  / 2 </t>
  </si>
  <si>
    <t xml:space="preserve">Return On Equity (ROE) </t>
  </si>
  <si>
    <t xml:space="preserve">Total General Sin Pensiones </t>
  </si>
  <si>
    <t xml:space="preserve">  </t>
  </si>
  <si>
    <t xml:space="preserve">Compañía </t>
  </si>
  <si>
    <t xml:space="preserve">Res Neto T4 </t>
  </si>
  <si>
    <t xml:space="preserve">Capital Contable Ini </t>
  </si>
  <si>
    <t xml:space="preserve">Capital Contable Fin </t>
  </si>
  <si>
    <t xml:space="preserve">ROE </t>
  </si>
  <si>
    <t>X      100</t>
  </si>
  <si>
    <t xml:space="preserve">ROE  = </t>
  </si>
  <si>
    <t>RESULTADO NETO 4 TRIMESTRES</t>
  </si>
  <si>
    <t xml:space="preserve">(CAPITAL CONTABLE ACTUAL  + CAPITAL CONTABLE  PERIODO ANTERIOR)  / 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</si>
</sst>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#,##0;(#,##0)"/>
    <numFmt numFmtId="165" formatCode="_-* #,##0.00_-;-* #,##0.00_-;_-* &quot;-&quot;??_-;_-@_-"/>
    <numFmt numFmtId="166" formatCode="#,##0.0;(#,##0.0)"/>
    <numFmt numFmtId="167" formatCode="#,##0.00;(#,##0.00)"/>
    <numFmt numFmtId="168" formatCode="#,##0.000000;(#,##0.000000)"/>
    <numFmt numFmtId="169" formatCode="_-* #,##0_-;-* #,##0_-;_-* &quot;-&quot;??_-;_-@_-"/>
    <numFmt numFmtId="170" formatCode="#,##0.0"/>
  </numFmts>
  <fonts count="16" x14ac:knownFonts="1">
    <font>
      <color theme="1"/>
      <family val="2"/>
      <scheme val="minor"/>
      <sz val="11"/>
      <name val="Calibri"/>
    </font>
    <font>
      <color theme="1"/>
      <family val="2"/>
      <sz val="10"/>
      <name val="Arial"/>
    </font>
    <font>
      <b/>
      <family val="2"/>
      <sz val="10"/>
      <name val="Arial"/>
    </font>
    <font>
      <b/>
      <color theme="3" tint="-0.499984740745262"/>
      <family val="2"/>
      <sz val="10"/>
      <name val="Arial"/>
    </font>
    <font>
      <family val="2"/>
      <sz val="10"/>
      <name val="Arial"/>
    </font>
    <font>
      <color rgb="FFFF0000"/>
      <family val="2"/>
      <sz val="10"/>
      <name val="Arial"/>
    </font>
    <font>
      <b/>
      <color rgb="FFC00000"/>
      <family val="2"/>
      <sz val="10"/>
      <name val="Arial"/>
    </font>
    <font>
      <b/>
      <color theme="1"/>
      <family val="2"/>
      <sz val="10"/>
      <name val="Arial"/>
    </font>
    <font>
      <color theme="0"/>
      <family val="2"/>
      <sz val="10"/>
      <name val="Arial"/>
    </font>
    <font>
      <b/>
      <color rgb="FFFF0000"/>
      <family val="2"/>
      <sz val="10"/>
      <name val="Arial"/>
    </font>
    <font>
      <color indexed="8"/>
      <family val="2"/>
      <sz val="10"/>
      <name val="Arial"/>
    </font>
    <font>
      <b/>
      <color indexed="8"/>
      <family val="2"/>
      <sz val="10"/>
      <name val="Arial"/>
    </font>
    <font>
      <b/>
      <color rgb="FF000000"/>
      <family val="2"/>
      <sz val="10"/>
      <name val="Arial"/>
    </font>
    <font>
      <b/>
      <color rgb="FF800040"/>
      <family val="2"/>
      <sz val="10"/>
      <name val="Arial"/>
    </font>
    <font>
      <b/>
      <color rgb="FF0F0F0F"/>
      <family val="2"/>
      <sz val="10"/>
      <name val="Arial"/>
    </font>
    <font>
      <color rgb="FF000000"/>
      <family val="2"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67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164" fontId="1" fillId="0" borderId="0" xfId="0" applyNumberFormat="1" applyFont="1"/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vertical="center"/>
    </xf>
    <xf numFmtId="3" fontId="3" fillId="2" borderId="2" xfId="0" applyNumberFormat="1" applyFont="1" applyFill="1" applyBorder="1" applyAlignment="1">
      <alignment horizontal="center"/>
    </xf>
    <xf numFmtId="0" fontId="4" fillId="2" borderId="2" xfId="0" applyFont="1" applyFill="1" applyBorder="1" applyAlignment="1">
      <alignment vertical="center"/>
    </xf>
    <xf numFmtId="0" fontId="2" fillId="2" borderId="3" xfId="0" applyFont="1" applyFill="1" applyBorder="1" applyAlignment="1">
      <alignment horizontal="right" vertical="center"/>
    </xf>
    <xf numFmtId="0" fontId="2" fillId="3" borderId="0" xfId="0" applyFont="1" applyFill="1" applyAlignment="1">
      <alignment horizontal="center"/>
    </xf>
    <xf numFmtId="165" fontId="4" fillId="3" borderId="0" xfId="0" applyNumberFormat="1" applyFont="1" applyFill="1" applyAlignment="1">
      <alignment horizontal="center"/>
    </xf>
    <xf numFmtId="0" fontId="4" fillId="0" borderId="0" xfId="0" applyFont="1"/>
    <xf numFmtId="0" fontId="4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4" xfId="0" applyFont="1" applyBorder="1" applyAlignment="1">
      <alignment horizontal="center" wrapText="1"/>
    </xf>
    <xf numFmtId="0" fontId="4" fillId="0" borderId="8" xfId="0" applyFont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0" borderId="4" xfId="0" applyFont="1" applyBorder="1" applyAlignment="1">
      <alignment horizontal="center"/>
    </xf>
    <xf numFmtId="0" fontId="4" fillId="0" borderId="6" xfId="0" applyFont="1" applyBorder="1" applyAlignment="1" applyProtection="1">
      <alignment horizontal="center"/>
      <protection locked="0"/>
    </xf>
    <xf numFmtId="0" fontId="4" fillId="0" borderId="7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/>
      <protection locked="0"/>
    </xf>
    <xf numFmtId="0" fontId="4" fillId="0" borderId="11" xfId="0" applyFont="1" applyBorder="1" applyAlignment="1">
      <alignment horizontal="center" wrapText="1"/>
    </xf>
    <xf numFmtId="0" fontId="4" fillId="0" borderId="11" xfId="0" applyFont="1" applyBorder="1" applyAlignment="1">
      <alignment horizontal="center"/>
    </xf>
    <xf numFmtId="0" fontId="4" fillId="0" borderId="13" xfId="0" applyFont="1" applyBorder="1" applyAlignment="1">
      <alignment horizontal="center" vertical="center"/>
    </xf>
    <xf numFmtId="49" fontId="2" fillId="0" borderId="14" xfId="0" applyNumberFormat="1" applyFont="1" applyBorder="1" applyAlignment="1" applyProtection="1">
      <alignment horizontal="center"/>
      <protection locked="0"/>
    </xf>
    <xf numFmtId="49" fontId="2" fillId="0" borderId="15" xfId="0" applyNumberFormat="1" applyFont="1" applyBorder="1" applyAlignment="1" applyProtection="1">
      <alignment horizontal="center"/>
      <protection locked="0"/>
    </xf>
    <xf numFmtId="49" fontId="4" fillId="0" borderId="16" xfId="0" applyNumberFormat="1" applyFont="1" applyBorder="1" applyAlignment="1">
      <alignment horizontal="center" vertical="center"/>
    </xf>
    <xf numFmtId="49" fontId="4" fillId="0" borderId="13" xfId="0" applyNumberFormat="1" applyFont="1" applyBorder="1" applyAlignment="1" applyProtection="1">
      <alignment horizontal="center"/>
      <protection locked="0"/>
    </xf>
    <xf numFmtId="49" fontId="2" fillId="0" borderId="17" xfId="0" applyNumberFormat="1" applyFont="1" applyBorder="1" applyAlignment="1">
      <alignment horizontal="center"/>
    </xf>
    <xf numFmtId="49" fontId="4" fillId="0" borderId="17" xfId="0" applyNumberFormat="1" applyFont="1" applyBorder="1" applyAlignment="1" applyProtection="1">
      <alignment horizontal="center"/>
      <protection locked="0"/>
    </xf>
    <xf numFmtId="0" fontId="2" fillId="0" borderId="17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 applyProtection="1">
      <alignment horizontal="center"/>
      <protection locked="0"/>
    </xf>
    <xf numFmtId="49" fontId="4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/>
    </xf>
    <xf numFmtId="0" fontId="1" fillId="0" borderId="18" xfId="0" applyFont="1" applyBorder="1" applyAlignment="1" applyProtection="1">
      <alignment horizontal="center"/>
      <protection locked="0"/>
    </xf>
    <xf numFmtId="0" fontId="1" fillId="0" borderId="18" xfId="0" applyFont="1" applyBorder="1" applyProtection="1">
      <protection locked="0"/>
    </xf>
    <xf numFmtId="164" fontId="1" fillId="0" borderId="18" xfId="0" applyNumberFormat="1" applyFont="1" applyBorder="1" applyAlignment="1" applyProtection="1">
      <alignment horizontal="right"/>
      <protection locked="0"/>
    </xf>
    <xf numFmtId="166" fontId="1" fillId="0" borderId="18" xfId="0" applyNumberFormat="1" applyFont="1" applyBorder="1" applyAlignment="1" applyProtection="1">
      <alignment horizontal="right"/>
      <protection locked="0"/>
    </xf>
    <xf numFmtId="167" fontId="1" fillId="0" borderId="18" xfId="0" applyNumberFormat="1" applyFont="1" applyBorder="1" applyAlignment="1" applyProtection="1">
      <alignment horizontal="right"/>
      <protection locked="0"/>
    </xf>
    <xf numFmtId="168" fontId="1" fillId="0" borderId="18" xfId="0" applyNumberFormat="1" applyFont="1" applyBorder="1" applyAlignment="1" applyProtection="1">
      <alignment horizontal="right"/>
      <protection locked="0"/>
    </xf>
    <xf numFmtId="164" fontId="1" fillId="0" borderId="0" xfId="0" applyNumberFormat="1" applyFont="1" applyAlignment="1">
      <alignment horizontal="right"/>
    </xf>
    <xf numFmtId="166" fontId="1" fillId="0" borderId="0" xfId="0" applyNumberFormat="1" applyFont="1"/>
    <xf numFmtId="0" fontId="5" fillId="0" borderId="0" xfId="0" applyFont="1"/>
    <xf numFmtId="166" fontId="5" fillId="0" borderId="0" xfId="0" applyNumberFormat="1" applyFont="1"/>
    <xf numFmtId="0" fontId="6" fillId="0" borderId="0" xfId="0" applyFont="1"/>
    <xf numFmtId="0" fontId="1" fillId="0" borderId="18" xfId="0" applyFont="1" applyBorder="1"/>
    <xf numFmtId="0" fontId="7" fillId="0" borderId="0" xfId="0" applyFont="1" applyAlignment="1">
      <alignment horizontal="right"/>
    </xf>
    <xf numFmtId="169" fontId="1" fillId="2" borderId="0" xfId="0" applyNumberFormat="1" applyFont="1" applyFill="1"/>
    <xf numFmtId="165" fontId="1" fillId="2" borderId="0" xfId="0" applyNumberFormat="1" applyFont="1" applyFill="1"/>
    <xf numFmtId="164" fontId="1" fillId="2" borderId="0" xfId="0" applyNumberFormat="1" applyFont="1" applyFill="1"/>
    <xf numFmtId="0" fontId="7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8" fillId="0" borderId="0" xfId="0" applyFont="1"/>
    <xf numFmtId="3" fontId="1" fillId="0" borderId="0" xfId="0" applyNumberFormat="1" applyFont="1"/>
    <xf numFmtId="0" fontId="4" fillId="2" borderId="2" xfId="0" applyFont="1" applyFill="1" applyBorder="1"/>
    <xf numFmtId="0" fontId="2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3" fontId="4" fillId="0" borderId="0" xfId="0" applyNumberFormat="1" applyFont="1"/>
    <xf numFmtId="0" fontId="4" fillId="0" borderId="4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 wrapText="1"/>
    </xf>
    <xf numFmtId="49" fontId="4" fillId="0" borderId="14" xfId="0" applyNumberFormat="1" applyFont="1" applyBorder="1" applyAlignment="1" applyProtection="1">
      <alignment horizontal="center"/>
      <protection locked="0"/>
    </xf>
    <xf numFmtId="49" fontId="4" fillId="0" borderId="15" xfId="0" applyNumberFormat="1" applyFont="1" applyBorder="1" applyAlignment="1" applyProtection="1">
      <alignment horizontal="center"/>
      <protection locked="0"/>
    </xf>
    <xf numFmtId="49" fontId="4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right"/>
    </xf>
    <xf numFmtId="16" fontId="9" fillId="0" borderId="0" xfId="0" applyNumberFormat="1" applyFont="1" applyAlignment="1">
      <alignment horizontal="left"/>
    </xf>
    <xf numFmtId="164" fontId="9" fillId="0" borderId="0" xfId="0" applyNumberFormat="1" applyFont="1" applyAlignment="1">
      <alignment horizontal="center"/>
    </xf>
    <xf numFmtId="3" fontId="9" fillId="0" borderId="0" xfId="0" applyNumberFormat="1" applyFont="1" applyAlignment="1">
      <alignment horizontal="right"/>
    </xf>
    <xf numFmtId="0" fontId="9" fillId="0" borderId="0" xfId="0" applyFont="1"/>
    <xf numFmtId="164" fontId="1" fillId="0" borderId="0" xfId="0" applyNumberFormat="1" applyFont="1" applyAlignment="1">
      <alignment horizontal="left"/>
    </xf>
    <xf numFmtId="0" fontId="2" fillId="0" borderId="20" xfId="0" applyFont="1" applyBorder="1" applyAlignment="1">
      <alignment horizontal="center"/>
    </xf>
    <xf numFmtId="0" fontId="4" fillId="0" borderId="9" xfId="0" applyFont="1" applyBorder="1" applyAlignment="1" applyProtection="1">
      <alignment horizontal="center"/>
      <protection locked="0"/>
    </xf>
    <xf numFmtId="0" fontId="4" fillId="0" borderId="19" xfId="0" applyFont="1" applyBorder="1" applyAlignment="1">
      <alignment horizontal="center"/>
    </xf>
    <xf numFmtId="0" fontId="4" fillId="0" borderId="21" xfId="0" applyFont="1" applyBorder="1" applyAlignment="1" applyProtection="1">
      <alignment horizontal="center"/>
      <protection locked="0"/>
    </xf>
    <xf numFmtId="49" fontId="2" fillId="0" borderId="13" xfId="0" applyNumberFormat="1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0" fillId="0" borderId="18" xfId="0" applyFont="1" applyBorder="1" applyProtection="1">
      <protection locked="0"/>
    </xf>
    <xf numFmtId="164" fontId="10" fillId="0" borderId="18" xfId="0" applyNumberFormat="1" applyFont="1" applyBorder="1" applyAlignment="1" applyProtection="1">
      <alignment horizontal="right"/>
      <protection locked="0"/>
    </xf>
    <xf numFmtId="166" fontId="10" fillId="0" borderId="18" xfId="0" applyNumberFormat="1" applyFont="1" applyBorder="1" applyAlignment="1" applyProtection="1">
      <alignment horizontal="right"/>
      <protection locked="0"/>
    </xf>
    <xf numFmtId="0" fontId="1" fillId="2" borderId="0" xfId="0" applyFont="1" applyFill="1"/>
    <xf numFmtId="0" fontId="1" fillId="4" borderId="0" xfId="0" applyFont="1" applyFill="1"/>
    <xf numFmtId="0" fontId="2" fillId="4" borderId="0" xfId="0" applyFont="1" applyFill="1" applyAlignment="1">
      <alignment horizontal="center"/>
    </xf>
    <xf numFmtId="0" fontId="4" fillId="4" borderId="0" xfId="0" applyFont="1" applyFill="1" applyAlignment="1">
      <alignment horizontal="right"/>
    </xf>
    <xf numFmtId="0" fontId="4" fillId="4" borderId="0" xfId="0" applyFont="1" applyFill="1"/>
    <xf numFmtId="0" fontId="4" fillId="0" borderId="7" xfId="0" applyFont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0" fontId="4" fillId="0" borderId="22" xfId="0" applyFont="1" applyBorder="1" applyAlignment="1">
      <alignment horizontal="center" wrapText="1"/>
    </xf>
    <xf numFmtId="0" fontId="4" fillId="0" borderId="23" xfId="0" applyFont="1" applyBorder="1" applyAlignment="1">
      <alignment horizontal="center" wrapText="1"/>
    </xf>
    <xf numFmtId="0" fontId="4" fillId="0" borderId="17" xfId="0" applyFont="1" applyBorder="1" applyAlignment="1" applyProtection="1">
      <alignment horizontal="center"/>
      <protection locked="0"/>
    </xf>
    <xf numFmtId="0" fontId="4" fillId="0" borderId="15" xfId="0" applyFont="1" applyBorder="1" applyAlignment="1" applyProtection="1">
      <alignment horizontal="center"/>
      <protection locked="0"/>
    </xf>
    <xf numFmtId="0" fontId="4" fillId="0" borderId="24" xfId="0" applyFont="1" applyBorder="1" applyAlignment="1">
      <alignment horizontal="center" vertical="center"/>
    </xf>
    <xf numFmtId="49" fontId="4" fillId="0" borderId="21" xfId="0" applyNumberFormat="1" applyFont="1" applyBorder="1" applyAlignment="1" applyProtection="1">
      <alignment horizontal="center"/>
      <protection locked="0"/>
    </xf>
    <xf numFmtId="0" fontId="1" fillId="0" borderId="25" xfId="0" applyFont="1" applyBorder="1" applyAlignment="1" applyProtection="1">
      <alignment horizontal="center"/>
      <protection locked="0"/>
    </xf>
    <xf numFmtId="166" fontId="1" fillId="0" borderId="26" xfId="0" applyNumberFormat="1" applyFont="1" applyBorder="1" applyAlignment="1" applyProtection="1">
      <alignment horizontal="right"/>
      <protection locked="0"/>
    </xf>
    <xf numFmtId="0" fontId="1" fillId="0" borderId="25" xfId="0" applyFont="1" applyBorder="1" applyAlignment="1">
      <alignment horizontal="center"/>
    </xf>
    <xf numFmtId="166" fontId="10" fillId="0" borderId="26" xfId="0" applyNumberFormat="1" applyFont="1" applyBorder="1" applyAlignment="1" applyProtection="1">
      <alignment horizontal="right"/>
      <protection locked="0"/>
    </xf>
    <xf numFmtId="0" fontId="1" fillId="0" borderId="27" xfId="0" applyFont="1" applyBorder="1" applyAlignment="1">
      <alignment horizontal="center"/>
    </xf>
    <xf numFmtId="0" fontId="10" fillId="0" borderId="28" xfId="0" applyFont="1" applyBorder="1" applyProtection="1">
      <protection locked="0"/>
    </xf>
    <xf numFmtId="164" fontId="10" fillId="0" borderId="28" xfId="0" applyNumberFormat="1" applyFont="1" applyBorder="1" applyAlignment="1" applyProtection="1">
      <alignment horizontal="right"/>
      <protection locked="0"/>
    </xf>
    <xf numFmtId="166" fontId="1" fillId="0" borderId="28" xfId="0" applyNumberFormat="1" applyFont="1" applyBorder="1" applyAlignment="1" applyProtection="1">
      <alignment horizontal="right"/>
      <protection locked="0"/>
    </xf>
    <xf numFmtId="166" fontId="10" fillId="0" borderId="28" xfId="0" applyNumberFormat="1" applyFont="1" applyBorder="1" applyAlignment="1" applyProtection="1">
      <alignment horizontal="right"/>
      <protection locked="0"/>
    </xf>
    <xf numFmtId="166" fontId="10" fillId="0" borderId="29" xfId="0" applyNumberFormat="1" applyFont="1" applyBorder="1" applyAlignment="1" applyProtection="1">
      <alignment horizontal="right"/>
      <protection locked="0"/>
    </xf>
    <xf numFmtId="0" fontId="2" fillId="2" borderId="2" xfId="0" applyFont="1" applyFill="1" applyBorder="1" applyAlignment="1">
      <alignment vertical="center"/>
    </xf>
    <xf numFmtId="0" fontId="2" fillId="4" borderId="20" xfId="0" applyFont="1" applyFill="1" applyBorder="1" applyAlignment="1">
      <alignment horizontal="center"/>
    </xf>
    <xf numFmtId="0" fontId="1" fillId="4" borderId="30" xfId="0" applyFont="1" applyFill="1" applyBorder="1" applyAlignment="1">
      <alignment horizontal="center"/>
    </xf>
    <xf numFmtId="0" fontId="4" fillId="0" borderId="7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22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49" fontId="4" fillId="0" borderId="17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2" fillId="3" borderId="0" xfId="0" applyFont="1" applyFill="1" applyAlignment="1">
      <alignment horizontal="right" vertical="center"/>
    </xf>
    <xf numFmtId="166" fontId="4" fillId="3" borderId="0" xfId="0" applyNumberFormat="1" applyFont="1" applyFill="1" applyAlignment="1">
      <alignment horizontal="left" vertical="center"/>
    </xf>
    <xf numFmtId="166" fontId="4" fillId="4" borderId="0" xfId="0" applyNumberFormat="1" applyFont="1" applyFill="1" applyAlignment="1">
      <alignment horizontal="center"/>
    </xf>
    <xf numFmtId="0" fontId="9" fillId="3" borderId="0" xfId="0" applyFont="1" applyFill="1" applyAlignment="1">
      <alignment horizontal="right" vertical="center"/>
    </xf>
    <xf numFmtId="0" fontId="4" fillId="3" borderId="0" xfId="0" applyFont="1" applyFill="1" applyAlignment="1">
      <alignment horizontal="left" vertical="center"/>
    </xf>
    <xf numFmtId="0" fontId="4" fillId="3" borderId="0" xfId="0" applyFont="1" applyFill="1"/>
    <xf numFmtId="0" fontId="1" fillId="3" borderId="0" xfId="0" applyFont="1" applyFill="1" applyAlignment="1">
      <alignment horizontal="center"/>
    </xf>
    <xf numFmtId="0" fontId="1" fillId="3" borderId="0" xfId="0" applyFont="1" applyFill="1"/>
    <xf numFmtId="164" fontId="1" fillId="3" borderId="0" xfId="0" applyNumberFormat="1" applyFont="1" applyFill="1"/>
    <xf numFmtId="0" fontId="2" fillId="3" borderId="0" xfId="0" applyFont="1" applyFill="1"/>
    <xf numFmtId="0" fontId="4" fillId="3" borderId="0" xfId="0" applyFont="1" applyFill="1" applyAlignment="1">
      <alignment horizontal="center"/>
    </xf>
    <xf numFmtId="164" fontId="2" fillId="3" borderId="0" xfId="0" applyNumberFormat="1" applyFont="1" applyFill="1" applyAlignment="1" applyProtection="1">
      <alignment horizontal="left"/>
      <protection locked="0"/>
    </xf>
    <xf numFmtId="164" fontId="4" fillId="3" borderId="0" xfId="0" applyNumberFormat="1" applyFont="1" applyFill="1" applyAlignment="1">
      <alignment horizontal="center"/>
    </xf>
    <xf numFmtId="164" fontId="4" fillId="3" borderId="0" xfId="0" applyNumberFormat="1" applyFont="1" applyFill="1" applyAlignment="1">
      <alignment horizontal="center" vertical="center" wrapText="1"/>
    </xf>
    <xf numFmtId="164" fontId="4" fillId="3" borderId="0" xfId="0" applyNumberFormat="1" applyFont="1" applyFill="1"/>
    <xf numFmtId="164" fontId="7" fillId="3" borderId="0" xfId="0" applyNumberFormat="1" applyFont="1" applyFill="1" applyAlignment="1" applyProtection="1">
      <alignment horizontal="left"/>
      <protection locked="0"/>
    </xf>
    <xf numFmtId="164" fontId="1" fillId="3" borderId="20" xfId="0" applyNumberFormat="1" applyFont="1" applyFill="1" applyBorder="1" applyAlignment="1">
      <alignment horizontal="center"/>
    </xf>
    <xf numFmtId="164" fontId="11" fillId="2" borderId="2" xfId="0" applyNumberFormat="1" applyFont="1" applyFill="1" applyBorder="1" applyProtection="1">
      <protection locked="0"/>
    </xf>
    <xf numFmtId="0" fontId="2" fillId="2" borderId="3" xfId="0" applyFont="1" applyFill="1" applyBorder="1" applyAlignment="1">
      <alignment horizontal="right"/>
    </xf>
    <xf numFmtId="0" fontId="12" fillId="2" borderId="31" xfId="0" applyFont="1" applyFill="1" applyBorder="1" applyAlignment="1">
      <alignment horizontal="center" vertical="center"/>
    </xf>
    <xf numFmtId="0" fontId="12" fillId="2" borderId="20" xfId="0" applyFont="1" applyFill="1" applyBorder="1" applyAlignment="1">
      <alignment horizontal="center" vertical="center"/>
    </xf>
    <xf numFmtId="0" fontId="12" fillId="2" borderId="32" xfId="0" applyFont="1" applyFill="1" applyBorder="1" applyAlignment="1">
      <alignment horizontal="center" vertical="center"/>
    </xf>
    <xf numFmtId="0" fontId="12" fillId="2" borderId="33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2" fillId="2" borderId="34" xfId="0" applyFont="1" applyFill="1" applyBorder="1" applyAlignment="1">
      <alignment horizontal="center" vertical="center"/>
    </xf>
    <xf numFmtId="164" fontId="11" fillId="2" borderId="35" xfId="0" applyNumberFormat="1" applyFont="1" applyFill="1" applyBorder="1" applyAlignment="1" applyProtection="1">
      <alignment horizontal="center" vertical="center"/>
      <protection locked="0"/>
    </xf>
    <xf numFmtId="164" fontId="11" fillId="2" borderId="36" xfId="0" applyNumberFormat="1" applyFont="1" applyFill="1" applyBorder="1" applyAlignment="1" applyProtection="1">
      <alignment horizontal="center" vertical="center"/>
      <protection locked="0"/>
    </xf>
    <xf numFmtId="164" fontId="11" fillId="2" borderId="37" xfId="0" applyNumberFormat="1" applyFont="1" applyFill="1" applyBorder="1" applyAlignment="1" applyProtection="1">
      <alignment horizontal="center" vertical="center"/>
      <protection locked="0"/>
    </xf>
    <xf numFmtId="0" fontId="13" fillId="0" borderId="38" xfId="0" applyFont="1" applyBorder="1" applyAlignment="1">
      <alignment horizontal="right" vertical="top" wrapText="1"/>
    </xf>
    <xf numFmtId="0" fontId="14" fillId="0" borderId="38" xfId="0" applyFont="1" applyBorder="1" applyAlignment="1">
      <alignment horizontal="center" vertical="center" wrapText="1"/>
    </xf>
    <xf numFmtId="3" fontId="1" fillId="0" borderId="18" xfId="0" applyNumberFormat="1" applyFont="1" applyBorder="1" applyAlignment="1">
      <alignment horizontal="right" vertical="top"/>
    </xf>
    <xf numFmtId="170" fontId="1" fillId="0" borderId="18" xfId="0" applyNumberFormat="1" applyFont="1" applyBorder="1" applyAlignment="1">
      <alignment horizontal="right" vertical="top"/>
    </xf>
    <xf numFmtId="3" fontId="1" fillId="2" borderId="20" xfId="0" applyNumberFormat="1" applyFont="1" applyFill="1" applyBorder="1" applyAlignment="1">
      <alignment horizontal="right" vertical="top"/>
    </xf>
    <xf numFmtId="170" fontId="1" fillId="2" borderId="20" xfId="0" applyNumberFormat="1" applyFont="1" applyFill="1" applyBorder="1" applyAlignment="1">
      <alignment horizontal="right" vertical="top"/>
    </xf>
    <xf numFmtId="0" fontId="7" fillId="0" borderId="0" xfId="0" applyFont="1"/>
    <xf numFmtId="0" fontId="1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5" fillId="0" borderId="2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11.xml"/><Relationship Id="rId9" Type="http://schemas.openxmlformats.org/officeDocument/2006/relationships/worksheet" Target="worksheets/sheet1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130969</xdr:colOff>
      <xdr:row>0</xdr:row>
      <xdr:rowOff>119062</xdr:rowOff>
    </xdr:from>
    <xdr:to>
      <xdr:col>1</xdr:col>
      <xdr:colOff>866</xdr:colOff>
      <xdr:row>4</xdr:row>
      <xdr:rowOff>80269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805729</xdr:colOff>
      <xdr:row>3</xdr:row>
      <xdr:rowOff>142182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158029</xdr:colOff>
      <xdr:row>3</xdr:row>
      <xdr:rowOff>156470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205654</xdr:colOff>
      <xdr:row>4</xdr:row>
      <xdr:rowOff>8833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96117</xdr:colOff>
      <xdr:row>4</xdr:row>
      <xdr:rowOff>27883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353292</xdr:colOff>
      <xdr:row>4</xdr:row>
      <xdr:rowOff>46933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XFD1048571"/>
  <sheetViews>
    <sheetView workbookViewId="0" showGridLines="0" zoomScale="80" zoomScaleNormal="80">
      <pane ySplit="14" topLeftCell="A15" activePane="bottomLeft" state="frozen"/>
      <selection pane="bottomLeft" activeCell="C15" sqref="C15"/>
    </sheetView>
  </sheetViews>
  <sheetFormatPr defaultRowHeight="13.2" outlineLevelRow="0" outlineLevelCol="0" x14ac:dyDescent="0.25" defaultColWidth="12" customHeight="1"/>
  <cols>
    <col min="1" max="1" width="16.42578125" style="1" customWidth="1"/>
    <col min="2" max="2" width="60.85546875" style="2" customWidth="1"/>
    <col min="3" max="4" width="14" style="3" customWidth="1"/>
    <col min="5" max="5" width="13.140625" style="3" customWidth="1"/>
    <col min="6" max="6" width="8.7109375" style="3" customWidth="1"/>
    <col min="7" max="7" width="14.85546875" style="3" customWidth="1"/>
    <col min="8" max="8" width="20" style="3" customWidth="1"/>
    <col min="9" max="9" width="18" style="3" customWidth="1"/>
    <col min="10" max="10" width="12.7109375" style="3" customWidth="1"/>
    <col min="11" max="12" width="7" style="3" customWidth="1"/>
    <col min="13" max="13" width="14" style="3" customWidth="1"/>
    <col min="14" max="14" width="8.7109375" style="3" customWidth="1"/>
    <col min="15" max="15" width="7.42578125" style="3" customWidth="1"/>
    <col min="16" max="16" width="19.7109375" style="3" customWidth="1"/>
    <col min="17" max="17" width="13.28515625" style="3" customWidth="1"/>
    <col min="18" max="18" width="21.85546875" style="3" customWidth="1"/>
    <col min="19" max="19" width="14" style="3" customWidth="1"/>
    <col min="20" max="20" width="8.7109375" style="3" customWidth="1"/>
    <col min="21" max="21" width="10.85546875" style="3" customWidth="1"/>
    <col min="22" max="16384" width="12" style="2" customWidth="1"/>
  </cols>
  <sheetData>
    <row r="6" ht="28.5" customHeight="1" spans="1:21" s="4" customFormat="1" x14ac:dyDescent="0.25">
      <c r="A6" s="5" t="s">
        <v>0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7"/>
      <c r="Q6" s="7"/>
      <c r="R6" s="7"/>
      <c r="S6" s="7"/>
      <c r="T6" s="7"/>
      <c r="U6" s="8" t="s">
        <v>1</v>
      </c>
    </row>
    <row r="7" spans="1:21" x14ac:dyDescent="0.25">
      <c r="A7" s="9" t="s">
        <v>2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1:21" x14ac:dyDescent="0.25">
      <c r="A8" s="9" t="s">
        <v>3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</row>
    <row r="9" ht="13.8" customHeight="1" spans="1:21" x14ac:dyDescent="0.25">
      <c r="A9" s="9"/>
      <c r="B9" s="10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</row>
    <row r="10" ht="13.8" customHeight="1" spans="1:21" s="11" customFormat="1" x14ac:dyDescent="0.25">
      <c r="A10" s="12" t="s">
        <v>4</v>
      </c>
      <c r="B10" s="12" t="s">
        <v>5</v>
      </c>
      <c r="C10" s="13" t="s">
        <v>6</v>
      </c>
      <c r="D10" s="13"/>
      <c r="E10" s="13"/>
      <c r="F10" s="14"/>
      <c r="G10" s="15" t="s">
        <v>7</v>
      </c>
      <c r="H10" s="13"/>
      <c r="I10" s="14"/>
      <c r="J10" s="15" t="s">
        <v>8</v>
      </c>
      <c r="K10" s="13"/>
      <c r="L10" s="14"/>
      <c r="M10" s="15" t="s">
        <v>9</v>
      </c>
      <c r="N10" s="13"/>
      <c r="O10" s="14"/>
      <c r="P10" s="15" t="s">
        <v>10</v>
      </c>
      <c r="Q10" s="13"/>
      <c r="R10" s="14"/>
      <c r="S10" s="16" t="s">
        <v>11</v>
      </c>
      <c r="T10" s="17"/>
      <c r="U10" s="18"/>
    </row>
    <row r="11" ht="13.8" customHeight="1" spans="1:21" s="11" customFormat="1" x14ac:dyDescent="0.25">
      <c r="A11" s="19"/>
      <c r="B11" s="19"/>
      <c r="C11" s="20" t="s">
        <v>12</v>
      </c>
      <c r="D11" s="21"/>
      <c r="E11" s="21" t="s">
        <v>13</v>
      </c>
      <c r="F11" s="21"/>
      <c r="G11" s="22" t="s">
        <v>14</v>
      </c>
      <c r="H11" s="23" t="s">
        <v>15</v>
      </c>
      <c r="I11" s="24"/>
      <c r="J11" s="25" t="s">
        <v>12</v>
      </c>
      <c r="K11" s="23" t="s">
        <v>15</v>
      </c>
      <c r="L11" s="24"/>
      <c r="M11" s="25" t="s">
        <v>12</v>
      </c>
      <c r="N11" s="23" t="s">
        <v>15</v>
      </c>
      <c r="O11" s="24"/>
      <c r="P11" s="25" t="s">
        <v>12</v>
      </c>
      <c r="Q11" s="23" t="s">
        <v>15</v>
      </c>
      <c r="R11" s="24"/>
      <c r="S11" s="25" t="s">
        <v>12</v>
      </c>
      <c r="T11" s="23" t="s">
        <v>15</v>
      </c>
      <c r="U11" s="24"/>
    </row>
    <row r="12" ht="13.8" customHeight="1" spans="1:21" s="11" customFormat="1" x14ac:dyDescent="0.25">
      <c r="A12" s="19"/>
      <c r="B12" s="19"/>
      <c r="C12" s="26">
        <f>+B35</f>
        <v>2023</v>
      </c>
      <c r="D12" s="26">
        <f>+C12-1</f>
        <v>2022</v>
      </c>
      <c r="E12" s="27"/>
      <c r="F12" s="28"/>
      <c r="G12" s="29"/>
      <c r="H12" s="26">
        <f>+B35</f>
        <v>2023</v>
      </c>
      <c r="I12" s="26">
        <f>+H12-1</f>
        <v>2022</v>
      </c>
      <c r="J12" s="30"/>
      <c r="K12" s="26">
        <f>+B35</f>
        <v>2023</v>
      </c>
      <c r="L12" s="26">
        <f>+K12-1</f>
        <v>2022</v>
      </c>
      <c r="M12" s="30"/>
      <c r="N12" s="26">
        <f>+B35</f>
        <v>2023</v>
      </c>
      <c r="O12" s="26">
        <f>+N12-1</f>
        <v>2022</v>
      </c>
      <c r="P12" s="30"/>
      <c r="Q12" s="26">
        <f>+B35</f>
        <v>2023</v>
      </c>
      <c r="R12" s="26">
        <f>+Q12-1</f>
        <v>2022</v>
      </c>
      <c r="S12" s="30"/>
      <c r="T12" s="26">
        <f>+B35</f>
        <v>2023</v>
      </c>
      <c r="U12" s="26">
        <v>2022</v>
      </c>
    </row>
    <row r="13" ht="9" customHeight="1" spans="1:21" s="11" customFormat="1" x14ac:dyDescent="0.25">
      <c r="A13" s="31"/>
      <c r="B13" s="31"/>
      <c r="C13" s="32">
        <v>1</v>
      </c>
      <c r="D13" s="33"/>
      <c r="E13" s="34" t="s">
        <v>12</v>
      </c>
      <c r="F13" s="35" t="s">
        <v>15</v>
      </c>
      <c r="G13" s="36">
        <v>2</v>
      </c>
      <c r="H13" s="37" t="s">
        <v>16</v>
      </c>
      <c r="I13" s="37"/>
      <c r="J13" s="38">
        <v>3</v>
      </c>
      <c r="K13" s="37" t="s">
        <v>17</v>
      </c>
      <c r="L13" s="37"/>
      <c r="M13" s="38">
        <v>4</v>
      </c>
      <c r="N13" s="37" t="s">
        <v>18</v>
      </c>
      <c r="O13" s="37"/>
      <c r="P13" s="38">
        <v>5</v>
      </c>
      <c r="Q13" s="37" t="s">
        <v>19</v>
      </c>
      <c r="R13" s="37"/>
      <c r="S13" s="38">
        <v>6</v>
      </c>
      <c r="T13" s="37" t="s">
        <v>20</v>
      </c>
      <c r="U13" s="37"/>
    </row>
    <row r="14" ht="6.6" customHeight="1" hidden="1" spans="1:15" s="11" customFormat="1" x14ac:dyDescent="0.25">
      <c r="A14" s="39"/>
      <c r="B14" s="39"/>
      <c r="C14" s="40"/>
      <c r="D14" s="40"/>
      <c r="E14" s="41"/>
      <c r="F14" s="40"/>
      <c r="G14" s="42"/>
      <c r="H14" s="40"/>
      <c r="I14" s="40"/>
      <c r="J14" s="42"/>
      <c r="K14" s="40"/>
      <c r="L14" s="40"/>
      <c r="M14" s="42"/>
      <c r="N14" s="40"/>
      <c r="O14" s="40"/>
    </row>
    <row r="15" ht="12.9" customHeight="1" spans="1:28" x14ac:dyDescent="0.25">
      <c r="A15" s="43" t="s">
        <v>21</v>
      </c>
      <c r="B15" s="44" t="s">
        <v>22</v>
      </c>
      <c r="C15" s="45" t="s">
        <v>23</v>
      </c>
      <c r="D15" s="45" t="s">
        <v>24</v>
      </c>
      <c r="E15" s="45" t="s">
        <v>23</v>
      </c>
      <c r="F15" s="46" t="s">
        <v>23</v>
      </c>
      <c r="G15" s="45" t="s">
        <v>23</v>
      </c>
      <c r="H15" s="47" t="s">
        <v>23</v>
      </c>
      <c r="I15" s="48" t="s">
        <v>25</v>
      </c>
      <c r="J15" s="45" t="s">
        <v>23</v>
      </c>
      <c r="K15" s="46" t="s">
        <v>23</v>
      </c>
      <c r="L15" s="46" t="s">
        <v>26</v>
      </c>
      <c r="M15" s="45" t="s">
        <v>23</v>
      </c>
      <c r="N15" s="46" t="s">
        <v>23</v>
      </c>
      <c r="O15" s="46" t="s">
        <v>27</v>
      </c>
      <c r="P15" s="45" t="s">
        <v>28</v>
      </c>
      <c r="Q15" s="46" t="s">
        <v>29</v>
      </c>
      <c r="R15" s="46" t="s">
        <v>30</v>
      </c>
      <c r="S15" s="45" t="s">
        <v>31</v>
      </c>
      <c r="T15" s="46" t="s">
        <v>29</v>
      </c>
      <c r="U15" s="46" t="s">
        <v>32</v>
      </c>
      <c r="V15" s="49"/>
      <c r="W15" s="3"/>
      <c r="X15" s="3"/>
      <c r="Y15" s="3"/>
      <c r="Z15" s="50"/>
      <c r="AA15" s="50"/>
      <c r="AB15" s="50"/>
    </row>
    <row r="16" ht="12.9" customHeight="1" spans="1:28" x14ac:dyDescent="0.25">
      <c r="A16" s="43" t="s">
        <v>33</v>
      </c>
      <c r="B16" s="44" t="s">
        <v>34</v>
      </c>
      <c r="C16" s="45" t="s">
        <v>35</v>
      </c>
      <c r="D16" s="45" t="s">
        <v>36</v>
      </c>
      <c r="E16" s="45" t="s">
        <v>37</v>
      </c>
      <c r="F16" s="46" t="s">
        <v>38</v>
      </c>
      <c r="G16" s="45" t="s">
        <v>39</v>
      </c>
      <c r="H16" s="47" t="s">
        <v>40</v>
      </c>
      <c r="I16" s="46" t="s">
        <v>41</v>
      </c>
      <c r="J16" s="45" t="s">
        <v>42</v>
      </c>
      <c r="K16" s="46" t="s">
        <v>43</v>
      </c>
      <c r="L16" s="46" t="s">
        <v>44</v>
      </c>
      <c r="M16" s="45" t="s">
        <v>45</v>
      </c>
      <c r="N16" s="46" t="s">
        <v>30</v>
      </c>
      <c r="O16" s="46" t="s">
        <v>46</v>
      </c>
      <c r="P16" s="45" t="s">
        <v>47</v>
      </c>
      <c r="Q16" s="46" t="s">
        <v>29</v>
      </c>
      <c r="R16" s="46" t="s">
        <v>30</v>
      </c>
      <c r="S16" s="45" t="s">
        <v>48</v>
      </c>
      <c r="T16" s="46" t="s">
        <v>29</v>
      </c>
      <c r="U16" s="46" t="s">
        <v>49</v>
      </c>
      <c r="V16" s="49"/>
      <c r="W16" s="3"/>
      <c r="X16" s="3"/>
      <c r="Y16" s="3"/>
      <c r="Z16" s="50"/>
      <c r="AA16" s="50"/>
      <c r="AB16" s="50"/>
    </row>
    <row r="17" ht="12.9" customHeight="1" spans="1:28" x14ac:dyDescent="0.25">
      <c r="A17" s="43" t="s">
        <v>50</v>
      </c>
      <c r="B17" s="44" t="s">
        <v>51</v>
      </c>
      <c r="C17" s="45" t="s">
        <v>23</v>
      </c>
      <c r="D17" s="45" t="s">
        <v>23</v>
      </c>
      <c r="E17" s="45" t="s">
        <v>23</v>
      </c>
      <c r="F17" s="46" t="s">
        <v>23</v>
      </c>
      <c r="G17" s="45" t="s">
        <v>23</v>
      </c>
      <c r="H17" s="47" t="s">
        <v>23</v>
      </c>
      <c r="I17" s="46" t="s">
        <v>23</v>
      </c>
      <c r="J17" s="45" t="s">
        <v>23</v>
      </c>
      <c r="K17" s="46" t="s">
        <v>23</v>
      </c>
      <c r="L17" s="46" t="s">
        <v>23</v>
      </c>
      <c r="M17" s="45" t="s">
        <v>23</v>
      </c>
      <c r="N17" s="46" t="s">
        <v>23</v>
      </c>
      <c r="O17" s="46" t="s">
        <v>23</v>
      </c>
      <c r="P17" s="45" t="s">
        <v>23</v>
      </c>
      <c r="Q17" s="46" t="s">
        <v>23</v>
      </c>
      <c r="R17" s="46" t="s">
        <v>30</v>
      </c>
      <c r="S17" s="45" t="s">
        <v>23</v>
      </c>
      <c r="T17" s="46" t="s">
        <v>29</v>
      </c>
      <c r="U17" s="46" t="s">
        <v>23</v>
      </c>
      <c r="V17" s="49"/>
      <c r="W17" s="3"/>
      <c r="X17" s="3"/>
      <c r="Y17" s="3"/>
      <c r="Z17" s="50"/>
      <c r="AA17" s="50"/>
      <c r="AB17" s="50"/>
    </row>
    <row r="18" ht="12.9" customHeight="1" spans="1:28" x14ac:dyDescent="0.25">
      <c r="A18" s="43" t="s">
        <v>52</v>
      </c>
      <c r="B18" s="44" t="s">
        <v>53</v>
      </c>
      <c r="C18" s="45" t="s">
        <v>23</v>
      </c>
      <c r="D18" s="45" t="s">
        <v>23</v>
      </c>
      <c r="E18" s="45" t="s">
        <v>23</v>
      </c>
      <c r="F18" s="46" t="s">
        <v>23</v>
      </c>
      <c r="G18" s="45" t="s">
        <v>23</v>
      </c>
      <c r="H18" s="47" t="s">
        <v>23</v>
      </c>
      <c r="I18" s="46" t="s">
        <v>23</v>
      </c>
      <c r="J18" s="45" t="s">
        <v>23</v>
      </c>
      <c r="K18" s="46" t="s">
        <v>23</v>
      </c>
      <c r="L18" s="46" t="s">
        <v>23</v>
      </c>
      <c r="M18" s="45" t="s">
        <v>23</v>
      </c>
      <c r="N18" s="46" t="s">
        <v>23</v>
      </c>
      <c r="O18" s="46" t="s">
        <v>23</v>
      </c>
      <c r="P18" s="45" t="s">
        <v>23</v>
      </c>
      <c r="Q18" s="46" t="s">
        <v>23</v>
      </c>
      <c r="R18" s="46" t="s">
        <v>30</v>
      </c>
      <c r="S18" s="45" t="s">
        <v>23</v>
      </c>
      <c r="T18" s="46" t="s">
        <v>29</v>
      </c>
      <c r="U18" s="46" t="s">
        <v>23</v>
      </c>
      <c r="V18" s="49"/>
      <c r="W18" s="3"/>
      <c r="X18" s="3"/>
      <c r="Y18" s="3"/>
      <c r="Z18" s="50"/>
      <c r="AA18" s="50"/>
      <c r="AB18" s="50"/>
    </row>
    <row r="19" ht="12.9" customHeight="1" spans="1:28" s="51" customFormat="1" x14ac:dyDescent="0.25">
      <c r="A19" s="43" t="s">
        <v>54</v>
      </c>
      <c r="B19" s="44" t="s">
        <v>55</v>
      </c>
      <c r="C19" s="45" t="s">
        <v>23</v>
      </c>
      <c r="D19" s="45" t="s">
        <v>23</v>
      </c>
      <c r="E19" s="45" t="s">
        <v>23</v>
      </c>
      <c r="F19" s="46" t="s">
        <v>23</v>
      </c>
      <c r="G19" s="45" t="s">
        <v>23</v>
      </c>
      <c r="H19" s="47" t="s">
        <v>23</v>
      </c>
      <c r="I19" s="46" t="s">
        <v>23</v>
      </c>
      <c r="J19" s="45" t="s">
        <v>23</v>
      </c>
      <c r="K19" s="46" t="s">
        <v>23</v>
      </c>
      <c r="L19" s="46" t="s">
        <v>23</v>
      </c>
      <c r="M19" s="45" t="s">
        <v>23</v>
      </c>
      <c r="N19" s="46" t="s">
        <v>23</v>
      </c>
      <c r="O19" s="46" t="s">
        <v>23</v>
      </c>
      <c r="P19" s="45" t="s">
        <v>23</v>
      </c>
      <c r="Q19" s="46" t="s">
        <v>23</v>
      </c>
      <c r="R19" s="46" t="s">
        <v>30</v>
      </c>
      <c r="S19" s="45" t="s">
        <v>23</v>
      </c>
      <c r="T19" s="46" t="s">
        <v>29</v>
      </c>
      <c r="U19" s="46" t="s">
        <v>23</v>
      </c>
      <c r="V19" s="52"/>
      <c r="W19" s="52"/>
      <c r="X19" s="52"/>
      <c r="Y19" s="52"/>
      <c r="Z19" s="52"/>
      <c r="AA19" s="52"/>
      <c r="AB19" s="52"/>
    </row>
    <row r="20" ht="12.9" customHeight="1" spans="1:28" s="51" customFormat="1" x14ac:dyDescent="0.25">
      <c r="A20" s="43" t="s">
        <v>56</v>
      </c>
      <c r="B20" s="44" t="s">
        <v>57</v>
      </c>
      <c r="C20" s="45" t="s">
        <v>23</v>
      </c>
      <c r="D20" s="45" t="s">
        <v>23</v>
      </c>
      <c r="E20" s="45" t="s">
        <v>23</v>
      </c>
      <c r="F20" s="46" t="s">
        <v>23</v>
      </c>
      <c r="G20" s="45" t="s">
        <v>23</v>
      </c>
      <c r="H20" s="47" t="s">
        <v>23</v>
      </c>
      <c r="I20" s="46" t="s">
        <v>23</v>
      </c>
      <c r="J20" s="45" t="s">
        <v>23</v>
      </c>
      <c r="K20" s="46" t="s">
        <v>23</v>
      </c>
      <c r="L20" s="46" t="s">
        <v>23</v>
      </c>
      <c r="M20" s="45" t="s">
        <v>23</v>
      </c>
      <c r="N20" s="46" t="s">
        <v>23</v>
      </c>
      <c r="O20" s="46" t="s">
        <v>23</v>
      </c>
      <c r="P20" s="45" t="s">
        <v>23</v>
      </c>
      <c r="Q20" s="46" t="s">
        <v>23</v>
      </c>
      <c r="R20" s="46" t="s">
        <v>30</v>
      </c>
      <c r="S20" s="45" t="s">
        <v>23</v>
      </c>
      <c r="T20" s="46" t="s">
        <v>29</v>
      </c>
      <c r="U20" s="46" t="s">
        <v>23</v>
      </c>
      <c r="V20" s="52"/>
      <c r="W20" s="52"/>
      <c r="X20" s="52"/>
      <c r="Y20" s="52"/>
      <c r="Z20" s="52"/>
      <c r="AA20" s="52"/>
      <c r="AB20" s="52"/>
    </row>
    <row r="21" spans="1:21" x14ac:dyDescent="0.25">
      <c r="A21" s="43" t="s">
        <v>58</v>
      </c>
      <c r="B21" s="44" t="s">
        <v>59</v>
      </c>
      <c r="C21" s="45" t="s">
        <v>23</v>
      </c>
      <c r="D21" s="45" t="s">
        <v>23</v>
      </c>
      <c r="E21" s="45" t="s">
        <v>23</v>
      </c>
      <c r="F21" s="46" t="s">
        <v>23</v>
      </c>
      <c r="G21" s="45" t="s">
        <v>23</v>
      </c>
      <c r="H21" s="47" t="s">
        <v>23</v>
      </c>
      <c r="I21" s="46" t="s">
        <v>23</v>
      </c>
      <c r="J21" s="45" t="s">
        <v>23</v>
      </c>
      <c r="K21" s="46" t="s">
        <v>23</v>
      </c>
      <c r="L21" s="46" t="s">
        <v>23</v>
      </c>
      <c r="M21" s="45" t="s">
        <v>23</v>
      </c>
      <c r="N21" s="46" t="s">
        <v>23</v>
      </c>
      <c r="O21" s="46" t="s">
        <v>23</v>
      </c>
      <c r="P21" s="45" t="s">
        <v>23</v>
      </c>
      <c r="Q21" s="46" t="s">
        <v>23</v>
      </c>
      <c r="R21" s="46" t="s">
        <v>30</v>
      </c>
      <c r="S21" s="45" t="s">
        <v>23</v>
      </c>
      <c r="T21" s="46" t="s">
        <v>29</v>
      </c>
      <c r="U21" s="46" t="s">
        <v>23</v>
      </c>
    </row>
    <row r="22" spans="1:21" s="53" customFormat="1" x14ac:dyDescent="0.25">
      <c r="A22" s="43" t="s">
        <v>60</v>
      </c>
      <c r="B22" s="44" t="s">
        <v>61</v>
      </c>
      <c r="C22" s="45" t="s">
        <v>23</v>
      </c>
      <c r="D22" s="45" t="s">
        <v>23</v>
      </c>
      <c r="E22" s="45" t="s">
        <v>23</v>
      </c>
      <c r="F22" s="46" t="s">
        <v>23</v>
      </c>
      <c r="G22" s="45" t="s">
        <v>23</v>
      </c>
      <c r="H22" s="47" t="s">
        <v>23</v>
      </c>
      <c r="I22" s="46" t="s">
        <v>23</v>
      </c>
      <c r="J22" s="45" t="s">
        <v>23</v>
      </c>
      <c r="K22" s="46" t="s">
        <v>23</v>
      </c>
      <c r="L22" s="46" t="s">
        <v>23</v>
      </c>
      <c r="M22" s="45" t="s">
        <v>23</v>
      </c>
      <c r="N22" s="46" t="s">
        <v>23</v>
      </c>
      <c r="O22" s="46" t="s">
        <v>23</v>
      </c>
      <c r="P22" s="45" t="s">
        <v>23</v>
      </c>
      <c r="Q22" s="46" t="s">
        <v>23</v>
      </c>
      <c r="R22" s="46" t="s">
        <v>30</v>
      </c>
      <c r="S22" s="45" t="s">
        <v>23</v>
      </c>
      <c r="T22" s="46" t="s">
        <v>29</v>
      </c>
      <c r="U22" s="46" t="s">
        <v>23</v>
      </c>
    </row>
    <row r="23" spans="1:21" x14ac:dyDescent="0.25">
      <c r="A23" s="43" t="s">
        <v>62</v>
      </c>
      <c r="B23" s="44" t="s">
        <v>63</v>
      </c>
      <c r="C23" s="45" t="s">
        <v>23</v>
      </c>
      <c r="D23" s="45" t="s">
        <v>23</v>
      </c>
      <c r="E23" s="45" t="s">
        <v>23</v>
      </c>
      <c r="F23" s="46" t="s">
        <v>23</v>
      </c>
      <c r="G23" s="45" t="s">
        <v>23</v>
      </c>
      <c r="H23" s="47" t="s">
        <v>23</v>
      </c>
      <c r="I23" s="46" t="s">
        <v>23</v>
      </c>
      <c r="J23" s="45" t="s">
        <v>23</v>
      </c>
      <c r="K23" s="46" t="s">
        <v>23</v>
      </c>
      <c r="L23" s="46" t="s">
        <v>23</v>
      </c>
      <c r="M23" s="45" t="s">
        <v>23</v>
      </c>
      <c r="N23" s="46" t="s">
        <v>23</v>
      </c>
      <c r="O23" s="46" t="s">
        <v>23</v>
      </c>
      <c r="P23" s="45" t="s">
        <v>23</v>
      </c>
      <c r="Q23" s="46" t="s">
        <v>23</v>
      </c>
      <c r="R23" s="46" t="s">
        <v>30</v>
      </c>
      <c r="S23" s="45" t="s">
        <v>23</v>
      </c>
      <c r="T23" s="46" t="s">
        <v>29</v>
      </c>
      <c r="U23" s="46" t="s">
        <v>23</v>
      </c>
    </row>
    <row r="24" spans="1:21" x14ac:dyDescent="0.25">
      <c r="A24" s="43" t="s">
        <v>64</v>
      </c>
      <c r="B24" s="44" t="s">
        <v>65</v>
      </c>
      <c r="C24" s="45" t="s">
        <v>23</v>
      </c>
      <c r="D24" s="45" t="s">
        <v>23</v>
      </c>
      <c r="E24" s="45" t="s">
        <v>23</v>
      </c>
      <c r="F24" s="46" t="s">
        <v>23</v>
      </c>
      <c r="G24" s="45" t="s">
        <v>23</v>
      </c>
      <c r="H24" s="47" t="s">
        <v>23</v>
      </c>
      <c r="I24" s="46" t="s">
        <v>23</v>
      </c>
      <c r="J24" s="45" t="s">
        <v>23</v>
      </c>
      <c r="K24" s="46" t="s">
        <v>23</v>
      </c>
      <c r="L24" s="46" t="s">
        <v>23</v>
      </c>
      <c r="M24" s="45" t="s">
        <v>23</v>
      </c>
      <c r="N24" s="46" t="s">
        <v>23</v>
      </c>
      <c r="O24" s="46" t="s">
        <v>23</v>
      </c>
      <c r="P24" s="45" t="s">
        <v>23</v>
      </c>
      <c r="Q24" s="46" t="s">
        <v>23</v>
      </c>
      <c r="R24" s="46" t="s">
        <v>30</v>
      </c>
      <c r="S24" s="45" t="s">
        <v>23</v>
      </c>
      <c r="T24" s="46" t="s">
        <v>29</v>
      </c>
      <c r="U24" s="46" t="s">
        <v>23</v>
      </c>
    </row>
    <row r="25" spans="1:21" x14ac:dyDescent="0.25">
      <c r="A25" s="43" t="s">
        <v>66</v>
      </c>
      <c r="B25" s="44" t="s">
        <v>67</v>
      </c>
      <c r="C25" s="45" t="s">
        <v>23</v>
      </c>
      <c r="D25" s="45" t="s">
        <v>23</v>
      </c>
      <c r="E25" s="45" t="s">
        <v>23</v>
      </c>
      <c r="F25" s="46" t="s">
        <v>23</v>
      </c>
      <c r="G25" s="45" t="s">
        <v>23</v>
      </c>
      <c r="H25" s="47" t="s">
        <v>23</v>
      </c>
      <c r="I25" s="46" t="s">
        <v>23</v>
      </c>
      <c r="J25" s="45" t="s">
        <v>23</v>
      </c>
      <c r="K25" s="46" t="s">
        <v>23</v>
      </c>
      <c r="L25" s="46" t="s">
        <v>23</v>
      </c>
      <c r="M25" s="45" t="s">
        <v>23</v>
      </c>
      <c r="N25" s="46" t="s">
        <v>23</v>
      </c>
      <c r="O25" s="46" t="s">
        <v>23</v>
      </c>
      <c r="P25" s="45" t="s">
        <v>23</v>
      </c>
      <c r="Q25" s="46" t="s">
        <v>23</v>
      </c>
      <c r="R25" s="46" t="s">
        <v>30</v>
      </c>
      <c r="S25" s="45" t="s">
        <v>23</v>
      </c>
      <c r="T25" s="46" t="s">
        <v>29</v>
      </c>
      <c r="U25" s="46" t="s">
        <v>23</v>
      </c>
    </row>
    <row r="26" spans="1:21" x14ac:dyDescent="0.25">
      <c r="A26" s="43" t="s">
        <v>68</v>
      </c>
      <c r="B26" s="44" t="s">
        <v>69</v>
      </c>
      <c r="C26" s="45" t="s">
        <v>23</v>
      </c>
      <c r="D26" s="45" t="s">
        <v>23</v>
      </c>
      <c r="E26" s="45" t="s">
        <v>23</v>
      </c>
      <c r="F26" s="46" t="s">
        <v>23</v>
      </c>
      <c r="G26" s="45" t="s">
        <v>23</v>
      </c>
      <c r="H26" s="47" t="s">
        <v>23</v>
      </c>
      <c r="I26" s="46" t="s">
        <v>23</v>
      </c>
      <c r="J26" s="45" t="s">
        <v>23</v>
      </c>
      <c r="K26" s="46" t="s">
        <v>23</v>
      </c>
      <c r="L26" s="46" t="s">
        <v>23</v>
      </c>
      <c r="M26" s="45" t="s">
        <v>23</v>
      </c>
      <c r="N26" s="46" t="s">
        <v>23</v>
      </c>
      <c r="O26" s="46" t="s">
        <v>23</v>
      </c>
      <c r="P26" s="45" t="s">
        <v>23</v>
      </c>
      <c r="Q26" s="46" t="s">
        <v>23</v>
      </c>
      <c r="R26" s="46" t="s">
        <v>30</v>
      </c>
      <c r="S26" s="45" t="s">
        <v>23</v>
      </c>
      <c r="T26" s="46" t="s">
        <v>29</v>
      </c>
      <c r="U26" s="46" t="s">
        <v>23</v>
      </c>
    </row>
    <row r="27" spans="1:21" x14ac:dyDescent="0.25">
      <c r="A27" s="43" t="s">
        <v>70</v>
      </c>
      <c r="B27" s="44" t="s">
        <v>71</v>
      </c>
      <c r="C27" s="45" t="s">
        <v>23</v>
      </c>
      <c r="D27" s="45" t="s">
        <v>23</v>
      </c>
      <c r="E27" s="45" t="s">
        <v>23</v>
      </c>
      <c r="F27" s="46" t="s">
        <v>23</v>
      </c>
      <c r="G27" s="45" t="s">
        <v>23</v>
      </c>
      <c r="H27" s="47" t="s">
        <v>23</v>
      </c>
      <c r="I27" s="46" t="s">
        <v>23</v>
      </c>
      <c r="J27" s="45" t="s">
        <v>23</v>
      </c>
      <c r="K27" s="46" t="s">
        <v>23</v>
      </c>
      <c r="L27" s="46" t="s">
        <v>23</v>
      </c>
      <c r="M27" s="45" t="s">
        <v>23</v>
      </c>
      <c r="N27" s="46" t="s">
        <v>23</v>
      </c>
      <c r="O27" s="46" t="s">
        <v>23</v>
      </c>
      <c r="P27" s="45" t="s">
        <v>23</v>
      </c>
      <c r="Q27" s="46" t="s">
        <v>23</v>
      </c>
      <c r="R27" s="46" t="s">
        <v>30</v>
      </c>
      <c r="S27" s="45" t="s">
        <v>23</v>
      </c>
      <c r="T27" s="46" t="s">
        <v>29</v>
      </c>
      <c r="U27" s="46" t="s">
        <v>23</v>
      </c>
    </row>
    <row r="28" spans="1:21" x14ac:dyDescent="0.25">
      <c r="A28" s="43" t="s">
        <v>72</v>
      </c>
      <c r="B28" s="44" t="s">
        <v>73</v>
      </c>
      <c r="C28" s="45" t="s">
        <v>23</v>
      </c>
      <c r="D28" s="45" t="s">
        <v>23</v>
      </c>
      <c r="E28" s="45" t="s">
        <v>23</v>
      </c>
      <c r="F28" s="46" t="s">
        <v>23</v>
      </c>
      <c r="G28" s="45" t="s">
        <v>23</v>
      </c>
      <c r="H28" s="47" t="s">
        <v>23</v>
      </c>
      <c r="I28" s="46" t="s">
        <v>23</v>
      </c>
      <c r="J28" s="45" t="s">
        <v>23</v>
      </c>
      <c r="K28" s="46" t="s">
        <v>23</v>
      </c>
      <c r="L28" s="46" t="s">
        <v>23</v>
      </c>
      <c r="M28" s="45" t="s">
        <v>23</v>
      </c>
      <c r="N28" s="46" t="s">
        <v>23</v>
      </c>
      <c r="O28" s="46" t="s">
        <v>23</v>
      </c>
      <c r="P28" s="45" t="s">
        <v>23</v>
      </c>
      <c r="Q28" s="46" t="s">
        <v>23</v>
      </c>
      <c r="R28" s="46" t="s">
        <v>30</v>
      </c>
      <c r="S28" s="45" t="s">
        <v>23</v>
      </c>
      <c r="T28" s="46" t="s">
        <v>29</v>
      </c>
      <c r="U28" s="46" t="s">
        <v>23</v>
      </c>
    </row>
    <row r="29" spans="1:21" x14ac:dyDescent="0.25">
      <c r="A29" s="43" t="s">
        <v>74</v>
      </c>
      <c r="B29" s="54" t="s">
        <v>75</v>
      </c>
      <c r="C29" s="45" t="s">
        <v>23</v>
      </c>
      <c r="D29" s="45" t="s">
        <v>23</v>
      </c>
      <c r="E29" s="45" t="s">
        <v>23</v>
      </c>
      <c r="F29" s="46" t="s">
        <v>23</v>
      </c>
      <c r="G29" s="45" t="s">
        <v>23</v>
      </c>
      <c r="H29" s="47" t="s">
        <v>23</v>
      </c>
      <c r="I29" s="46" t="s">
        <v>23</v>
      </c>
      <c r="J29" s="45" t="s">
        <v>23</v>
      </c>
      <c r="K29" s="46" t="s">
        <v>23</v>
      </c>
      <c r="L29" s="46" t="s">
        <v>23</v>
      </c>
      <c r="M29" s="45" t="s">
        <v>23</v>
      </c>
      <c r="N29" s="46" t="s">
        <v>23</v>
      </c>
      <c r="O29" s="46" t="s">
        <v>23</v>
      </c>
      <c r="P29" s="45" t="s">
        <v>23</v>
      </c>
      <c r="Q29" s="46" t="s">
        <v>23</v>
      </c>
      <c r="R29" s="46" t="s">
        <v>30</v>
      </c>
      <c r="S29" s="45" t="s">
        <v>23</v>
      </c>
      <c r="T29" s="46" t="s">
        <v>29</v>
      </c>
      <c r="U29" s="46" t="s">
        <v>23</v>
      </c>
    </row>
    <row r="30" spans="1:21" x14ac:dyDescent="0.25">
      <c r="A30" s="43" t="s">
        <v>76</v>
      </c>
      <c r="B30" s="54" t="s">
        <v>77</v>
      </c>
      <c r="C30" s="45" t="s">
        <v>23</v>
      </c>
      <c r="D30" s="45" t="s">
        <v>23</v>
      </c>
      <c r="E30" s="45" t="s">
        <v>23</v>
      </c>
      <c r="F30" s="46" t="s">
        <v>23</v>
      </c>
      <c r="G30" s="45" t="s">
        <v>23</v>
      </c>
      <c r="H30" s="47" t="s">
        <v>23</v>
      </c>
      <c r="I30" s="46" t="s">
        <v>23</v>
      </c>
      <c r="J30" s="45" t="s">
        <v>23</v>
      </c>
      <c r="K30" s="46" t="s">
        <v>23</v>
      </c>
      <c r="L30" s="46" t="s">
        <v>23</v>
      </c>
      <c r="M30" s="45" t="s">
        <v>23</v>
      </c>
      <c r="N30" s="46" t="s">
        <v>23</v>
      </c>
      <c r="O30" s="46" t="s">
        <v>23</v>
      </c>
      <c r="P30" s="45" t="s">
        <v>23</v>
      </c>
      <c r="Q30" s="46" t="s">
        <v>23</v>
      </c>
      <c r="R30" s="46" t="s">
        <v>30</v>
      </c>
      <c r="S30" s="45" t="s">
        <v>23</v>
      </c>
      <c r="T30" s="46" t="s">
        <v>29</v>
      </c>
      <c r="U30" s="46" t="s">
        <v>23</v>
      </c>
    </row>
    <row r="31" spans="1:21" x14ac:dyDescent="0.25">
      <c r="A31" s="43" t="s">
        <v>78</v>
      </c>
      <c r="B31" s="54" t="s">
        <v>79</v>
      </c>
      <c r="C31" s="45" t="s">
        <v>23</v>
      </c>
      <c r="D31" s="45" t="s">
        <v>23</v>
      </c>
      <c r="E31" s="45" t="s">
        <v>23</v>
      </c>
      <c r="F31" s="46" t="s">
        <v>23</v>
      </c>
      <c r="G31" s="45" t="s">
        <v>23</v>
      </c>
      <c r="H31" s="47" t="s">
        <v>23</v>
      </c>
      <c r="I31" s="46" t="s">
        <v>23</v>
      </c>
      <c r="J31" s="45" t="s">
        <v>23</v>
      </c>
      <c r="K31" s="46" t="s">
        <v>23</v>
      </c>
      <c r="L31" s="46" t="s">
        <v>23</v>
      </c>
      <c r="M31" s="45" t="s">
        <v>23</v>
      </c>
      <c r="N31" s="46" t="s">
        <v>23</v>
      </c>
      <c r="O31" s="46" t="s">
        <v>23</v>
      </c>
      <c r="P31" s="45" t="s">
        <v>23</v>
      </c>
      <c r="Q31" s="46" t="s">
        <v>23</v>
      </c>
      <c r="R31" s="46" t="s">
        <v>30</v>
      </c>
      <c r="S31" s="45" t="s">
        <v>23</v>
      </c>
      <c r="T31" s="46" t="s">
        <v>29</v>
      </c>
      <c r="U31" s="46" t="s">
        <v>23</v>
      </c>
    </row>
    <row r="32" spans="2:21" x14ac:dyDescent="0.25">
      <c r="B32" s="55" t="s">
        <v>80</v>
      </c>
      <c r="C32" s="56">
        <f>SUM(C15:C31)</f>
        <v>0</v>
      </c>
      <c r="D32" s="57">
        <f>SUM(D15:D31)</f>
        <v>0</v>
      </c>
      <c r="E32" s="58"/>
      <c r="F32" s="58"/>
      <c r="G32" s="56">
        <f>SUM(G15:G31)</f>
        <v>0</v>
      </c>
      <c r="H32" s="58"/>
      <c r="I32" s="57">
        <f>SUM(I15:I31)</f>
        <v>0</v>
      </c>
      <c r="J32" s="58"/>
      <c r="K32" s="58"/>
      <c r="L32" s="58"/>
      <c r="M32" s="57">
        <f>SUM(M15:M31)</f>
        <v>0</v>
      </c>
      <c r="N32" s="58"/>
      <c r="O32" s="58"/>
      <c r="P32" s="57">
        <f>SUM(P15:P31)</f>
        <v>0</v>
      </c>
      <c r="Q32" s="58"/>
      <c r="R32" s="58"/>
      <c r="S32" s="57">
        <f>SUM(S15:S31)</f>
        <v>0</v>
      </c>
      <c r="T32" s="58"/>
      <c r="U32" s="58"/>
    </row>
    <row r="35" spans="1:2" x14ac:dyDescent="0.25">
      <c r="A35" s="59" t="s">
        <v>81</v>
      </c>
      <c r="B35" s="60">
        <v>2023</v>
      </c>
    </row>
    <row r="1048568" spans="16384:16384" x14ac:dyDescent="0.25">
      <c r="XFD1048568" s="61" t="str">
        <f>"Primer Trimestre"&amp;" "&amp;$B$35</f>
        <v>Primer Trimestre 2023</v>
      </c>
    </row>
    <row r="1048569" spans="16384:16384" x14ac:dyDescent="0.25">
      <c r="XFD1048569" s="61" t="str">
        <f>"Segundo Trimestre"&amp;" "&amp;$B$35</f>
        <v>Segundo Trimestre 2023</v>
      </c>
    </row>
    <row r="1048570" spans="16384:16384" x14ac:dyDescent="0.25">
      <c r="XFD1048570" s="61" t="str">
        <f>"Tercer Trimestre"&amp;" "&amp;$B$35</f>
        <v>Tercer Trimestre 2023</v>
      </c>
    </row>
    <row r="1048571" spans="16384:16384" x14ac:dyDescent="0.25">
      <c r="XFD1048571" s="61" t="str">
        <f>"Cuarto Trimestre"&amp;" "&amp;$B$35</f>
        <v>Cuarto Trimestre 2023</v>
      </c>
    </row>
  </sheetData>
  <mergeCells count="28">
    <mergeCell ref="A7:U7"/>
    <mergeCell ref="A8:U8"/>
    <mergeCell ref="C10:F10"/>
    <mergeCell ref="G10:I10"/>
    <mergeCell ref="J10:L10"/>
    <mergeCell ref="M10:O10"/>
    <mergeCell ref="P10:R10"/>
    <mergeCell ref="S10:U10"/>
    <mergeCell ref="A10:A13"/>
    <mergeCell ref="B10:B13"/>
    <mergeCell ref="C11:D11"/>
    <mergeCell ref="E11:F11"/>
    <mergeCell ref="H11:I11"/>
    <mergeCell ref="K11:L11"/>
    <mergeCell ref="N11:O11"/>
    <mergeCell ref="Q11:R11"/>
    <mergeCell ref="T11:U11"/>
    <mergeCell ref="G11:G12"/>
    <mergeCell ref="J11:J12"/>
    <mergeCell ref="M11:M12"/>
    <mergeCell ref="P11:P12"/>
    <mergeCell ref="S11:S12"/>
    <mergeCell ref="C13:D13"/>
    <mergeCell ref="H13:I13"/>
    <mergeCell ref="K13:L13"/>
    <mergeCell ref="N13:O13"/>
    <mergeCell ref="Q13:R13"/>
    <mergeCell ref="T13:U13"/>
  </mergeCells>
  <dataValidations count="1">
    <dataValidation type="list" allowBlank="1" showInputMessage="1" showErrorMessage="1" sqref="U6">
      <formula1>$XFD$1048568:$XFD$1048571</formula1>
    </dataValidation>
  </dataValidations>
  <printOptions horizontalCentered="1"/>
  <pageMargins left="0.31496062992125984" right="0.31496062992125984" top="0.6299212598425197" bottom="0.6299212598425197" header="0.31496062992125984" footer="0.31496062992125984"/>
  <pageSetup orientation="landscape" horizontalDpi="4294967295" verticalDpi="4294967295" scale="77" fitToWidth="1" fitToHeight="1" firstPageNumber="1" useFirstPageNumber="1" copies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XFB1048571"/>
  <sheetViews>
    <sheetView workbookViewId="0" showGridLines="0" zoomScale="80" zoomScaleNormal="80">
      <selection activeCell="B15" sqref="B15"/>
    </sheetView>
  </sheetViews>
  <sheetFormatPr defaultRowHeight="13.2" outlineLevelRow="0" outlineLevelCol="0" x14ac:dyDescent="0.25" defaultColWidth="12" customHeight="1"/>
  <cols>
    <col min="1" max="1" width="16.28515625" style="1" customWidth="1"/>
    <col min="2" max="2" width="60.85546875" style="2" customWidth="1"/>
    <col min="3" max="3" width="12" style="3" customWidth="1"/>
    <col min="4" max="4" width="9.85546875" style="3" customWidth="1"/>
    <col min="5" max="5" width="9.28515625" style="3" customWidth="1"/>
    <col min="6" max="6" width="14.28515625" style="3" customWidth="1"/>
    <col min="7" max="7" width="9" style="3" customWidth="1"/>
    <col min="8" max="8" width="14.140625" style="3" customWidth="1"/>
    <col min="9" max="9" width="12.7109375" style="3" customWidth="1"/>
    <col min="10" max="11" width="8.7109375" style="3" customWidth="1"/>
    <col min="12" max="12" width="14" style="3" customWidth="1"/>
    <col min="13" max="14" width="8.7109375" style="3" customWidth="1"/>
    <col min="15" max="15" width="14.28515625" style="3" customWidth="1"/>
    <col min="16" max="17" width="8.7109375" style="3" customWidth="1"/>
    <col min="18" max="18" width="17" style="62" customWidth="1"/>
    <col min="19" max="21" width="12" style="2" customWidth="1"/>
    <col min="22" max="22" width="7" style="2" customWidth="1"/>
    <col min="23" max="16384" width="12" style="2" customWidth="1"/>
  </cols>
  <sheetData>
    <row r="6" ht="28.5" customHeight="1" spans="1:17" x14ac:dyDescent="0.25">
      <c r="A6" s="5" t="s">
        <v>0</v>
      </c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</row>
    <row r="7" spans="1:17" x14ac:dyDescent="0.25">
      <c r="A7" s="64" t="s">
        <v>2</v>
      </c>
      <c r="B7" s="64"/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  <c r="Q7" s="64"/>
    </row>
    <row r="8" spans="1:17" x14ac:dyDescent="0.25">
      <c r="A8" s="9" t="s">
        <v>3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</row>
    <row r="9" ht="13.8" customHeight="1" spans="1:17" x14ac:dyDescent="0.25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65" t="s">
        <v>82</v>
      </c>
    </row>
    <row r="10" ht="13.5" customHeight="1" spans="1:18" s="11" customFormat="1" x14ac:dyDescent="0.25">
      <c r="A10" s="12" t="s">
        <v>4</v>
      </c>
      <c r="B10" s="12" t="s">
        <v>5</v>
      </c>
      <c r="C10" s="66" t="s">
        <v>83</v>
      </c>
      <c r="D10" s="67"/>
      <c r="E10" s="20"/>
      <c r="F10" s="66" t="s">
        <v>84</v>
      </c>
      <c r="G10" s="67"/>
      <c r="H10" s="20"/>
      <c r="I10" s="66" t="s">
        <v>85</v>
      </c>
      <c r="J10" s="67"/>
      <c r="K10" s="20"/>
      <c r="L10" s="66" t="s">
        <v>86</v>
      </c>
      <c r="M10" s="67"/>
      <c r="N10" s="20"/>
      <c r="O10" s="66" t="s">
        <v>87</v>
      </c>
      <c r="P10" s="67"/>
      <c r="Q10" s="20"/>
      <c r="R10" s="68"/>
    </row>
    <row r="11" ht="13.8" customHeight="1" spans="1:18" s="11" customFormat="1" x14ac:dyDescent="0.25">
      <c r="A11" s="19"/>
      <c r="B11" s="19"/>
      <c r="C11" s="69" t="s">
        <v>12</v>
      </c>
      <c r="D11" s="23" t="s">
        <v>15</v>
      </c>
      <c r="E11" s="24"/>
      <c r="F11" s="12" t="s">
        <v>12</v>
      </c>
      <c r="G11" s="23" t="s">
        <v>15</v>
      </c>
      <c r="H11" s="24"/>
      <c r="I11" s="69" t="s">
        <v>12</v>
      </c>
      <c r="J11" s="23" t="s">
        <v>15</v>
      </c>
      <c r="K11" s="24"/>
      <c r="L11" s="12" t="s">
        <v>12</v>
      </c>
      <c r="M11" s="23" t="s">
        <v>15</v>
      </c>
      <c r="N11" s="24"/>
      <c r="O11" s="12" t="s">
        <v>12</v>
      </c>
      <c r="P11" s="23" t="s">
        <v>15</v>
      </c>
      <c r="Q11" s="24"/>
      <c r="R11" s="68"/>
    </row>
    <row r="12" ht="13.8" customHeight="1" spans="1:18" s="11" customFormat="1" x14ac:dyDescent="0.25">
      <c r="A12" s="19"/>
      <c r="B12" s="19"/>
      <c r="C12" s="70"/>
      <c r="D12" s="26">
        <f>+B35</f>
        <v>2023</v>
      </c>
      <c r="E12" s="26">
        <f>+D12-1</f>
        <v>2022</v>
      </c>
      <c r="F12" s="71"/>
      <c r="G12" s="26">
        <f>+B35</f>
        <v>2023</v>
      </c>
      <c r="H12" s="26">
        <f>+G12-1</f>
        <v>2022</v>
      </c>
      <c r="I12" s="72"/>
      <c r="J12" s="26">
        <f>+B35</f>
        <v>2023</v>
      </c>
      <c r="K12" s="26">
        <f>+J12-1</f>
        <v>2022</v>
      </c>
      <c r="L12" s="19"/>
      <c r="M12" s="26">
        <f>+B35</f>
        <v>2023</v>
      </c>
      <c r="N12" s="26">
        <f>+M12-1</f>
        <v>2022</v>
      </c>
      <c r="O12" s="19"/>
      <c r="P12" s="26">
        <f>+B35</f>
        <v>2023</v>
      </c>
      <c r="Q12" s="26">
        <f>+P12-1</f>
        <v>2022</v>
      </c>
      <c r="R12" s="68"/>
    </row>
    <row r="13" spans="1:18" s="11" customFormat="1" x14ac:dyDescent="0.25">
      <c r="A13" s="31"/>
      <c r="B13" s="31"/>
      <c r="C13" s="36" t="s">
        <v>58</v>
      </c>
      <c r="D13" s="73" t="s">
        <v>88</v>
      </c>
      <c r="E13" s="74"/>
      <c r="F13" s="36" t="s">
        <v>60</v>
      </c>
      <c r="G13" s="37" t="s">
        <v>89</v>
      </c>
      <c r="H13" s="37"/>
      <c r="I13" s="36" t="s">
        <v>62</v>
      </c>
      <c r="J13" s="37" t="s">
        <v>90</v>
      </c>
      <c r="K13" s="37"/>
      <c r="L13" s="36" t="s">
        <v>64</v>
      </c>
      <c r="M13" s="37" t="s">
        <v>91</v>
      </c>
      <c r="N13" s="37"/>
      <c r="O13" s="36" t="s">
        <v>66</v>
      </c>
      <c r="P13" s="37" t="s">
        <v>92</v>
      </c>
      <c r="Q13" s="37"/>
      <c r="R13" s="68"/>
    </row>
    <row r="14" ht="2.25" customHeight="1" spans="1:17" s="11" customFormat="1" x14ac:dyDescent="0.25">
      <c r="A14" s="39"/>
      <c r="B14" s="39"/>
      <c r="C14" s="42"/>
      <c r="D14" s="40"/>
      <c r="E14" s="40"/>
      <c r="F14" s="75"/>
      <c r="G14" s="40"/>
      <c r="H14" s="40"/>
      <c r="I14" s="75"/>
      <c r="J14" s="40"/>
      <c r="K14" s="40"/>
      <c r="L14" s="75"/>
      <c r="M14" s="40"/>
      <c r="N14" s="40"/>
      <c r="O14" s="75"/>
      <c r="P14" s="40"/>
      <c r="Q14" s="40"/>
    </row>
    <row r="15" spans="1:25" x14ac:dyDescent="0.25">
      <c r="A15" s="43" t="s">
        <v>21</v>
      </c>
      <c r="B15" s="44" t="s">
        <v>22</v>
      </c>
      <c r="C15" s="45" t="s">
        <v>23</v>
      </c>
      <c r="D15" s="46" t="s">
        <v>23</v>
      </c>
      <c r="E15" s="46" t="s">
        <v>30</v>
      </c>
      <c r="F15" s="45" t="s">
        <v>23</v>
      </c>
      <c r="G15" s="46" t="s">
        <v>23</v>
      </c>
      <c r="H15" s="46" t="s">
        <v>23</v>
      </c>
      <c r="I15" s="45" t="s">
        <v>23</v>
      </c>
      <c r="J15" s="46" t="s">
        <v>23</v>
      </c>
      <c r="K15" s="46" t="s">
        <v>23</v>
      </c>
      <c r="L15" s="45" t="s">
        <v>23</v>
      </c>
      <c r="M15" s="46" t="s">
        <v>23</v>
      </c>
      <c r="N15" s="46" t="s">
        <v>23</v>
      </c>
      <c r="O15" s="45" t="s">
        <v>23</v>
      </c>
      <c r="P15" s="46" t="s">
        <v>23</v>
      </c>
      <c r="Q15" s="46" t="s">
        <v>23</v>
      </c>
      <c r="R15" s="68"/>
      <c r="S15" s="49"/>
      <c r="T15" s="3"/>
      <c r="U15" s="3"/>
      <c r="V15" s="3"/>
      <c r="W15" s="50"/>
      <c r="X15" s="50"/>
      <c r="Y15" s="50"/>
    </row>
    <row r="16" spans="1:25" x14ac:dyDescent="0.25">
      <c r="A16" s="43" t="s">
        <v>33</v>
      </c>
      <c r="B16" s="44" t="s">
        <v>34</v>
      </c>
      <c r="C16" s="45" t="s">
        <v>93</v>
      </c>
      <c r="D16" s="46" t="s">
        <v>94</v>
      </c>
      <c r="E16" s="46" t="s">
        <v>95</v>
      </c>
      <c r="F16" s="45" t="s">
        <v>96</v>
      </c>
      <c r="G16" s="46" t="s">
        <v>97</v>
      </c>
      <c r="H16" s="46" t="s">
        <v>98</v>
      </c>
      <c r="I16" s="45" t="s">
        <v>99</v>
      </c>
      <c r="J16" s="46" t="s">
        <v>100</v>
      </c>
      <c r="K16" s="46" t="s">
        <v>101</v>
      </c>
      <c r="L16" s="45" t="s">
        <v>23</v>
      </c>
      <c r="M16" s="46" t="s">
        <v>23</v>
      </c>
      <c r="N16" s="46" t="s">
        <v>102</v>
      </c>
      <c r="O16" s="45" t="s">
        <v>103</v>
      </c>
      <c r="P16" s="46" t="s">
        <v>30</v>
      </c>
      <c r="Q16" s="46" t="s">
        <v>30</v>
      </c>
      <c r="R16" s="76"/>
      <c r="S16" s="77"/>
      <c r="T16" s="3"/>
      <c r="U16" s="3"/>
      <c r="V16" s="3"/>
      <c r="W16" s="50"/>
      <c r="X16" s="50"/>
      <c r="Y16" s="50"/>
    </row>
    <row r="17" spans="1:25" x14ac:dyDescent="0.25">
      <c r="A17" s="43" t="s">
        <v>50</v>
      </c>
      <c r="B17" s="44" t="s">
        <v>51</v>
      </c>
      <c r="C17" s="45" t="s">
        <v>23</v>
      </c>
      <c r="D17" s="46" t="s">
        <v>23</v>
      </c>
      <c r="E17" s="46" t="s">
        <v>23</v>
      </c>
      <c r="F17" s="45" t="s">
        <v>23</v>
      </c>
      <c r="G17" s="46" t="s">
        <v>23</v>
      </c>
      <c r="H17" s="46" t="s">
        <v>23</v>
      </c>
      <c r="I17" s="45" t="s">
        <v>23</v>
      </c>
      <c r="J17" s="46" t="s">
        <v>23</v>
      </c>
      <c r="K17" s="46" t="s">
        <v>23</v>
      </c>
      <c r="L17" s="45" t="s">
        <v>23</v>
      </c>
      <c r="M17" s="46" t="s">
        <v>23</v>
      </c>
      <c r="N17" s="46" t="s">
        <v>23</v>
      </c>
      <c r="O17" s="45" t="s">
        <v>23</v>
      </c>
      <c r="P17" s="46" t="s">
        <v>23</v>
      </c>
      <c r="Q17" s="46" t="s">
        <v>23</v>
      </c>
      <c r="R17" s="76"/>
      <c r="T17" s="3"/>
      <c r="U17" s="3"/>
      <c r="V17" s="3"/>
      <c r="W17" s="50"/>
      <c r="X17" s="50"/>
      <c r="Y17" s="50"/>
    </row>
    <row r="18" spans="1:25" x14ac:dyDescent="0.25">
      <c r="A18" s="43" t="s">
        <v>52</v>
      </c>
      <c r="B18" s="44" t="s">
        <v>53</v>
      </c>
      <c r="C18" s="45" t="s">
        <v>23</v>
      </c>
      <c r="D18" s="46" t="s">
        <v>23</v>
      </c>
      <c r="E18" s="46" t="s">
        <v>23</v>
      </c>
      <c r="F18" s="45" t="s">
        <v>23</v>
      </c>
      <c r="G18" s="46" t="s">
        <v>23</v>
      </c>
      <c r="H18" s="46" t="s">
        <v>23</v>
      </c>
      <c r="I18" s="45" t="s">
        <v>23</v>
      </c>
      <c r="J18" s="46" t="s">
        <v>23</v>
      </c>
      <c r="K18" s="46" t="s">
        <v>23</v>
      </c>
      <c r="L18" s="45" t="s">
        <v>23</v>
      </c>
      <c r="M18" s="46" t="s">
        <v>23</v>
      </c>
      <c r="N18" s="46" t="s">
        <v>23</v>
      </c>
      <c r="O18" s="45" t="s">
        <v>23</v>
      </c>
      <c r="P18" s="46" t="s">
        <v>23</v>
      </c>
      <c r="Q18" s="46" t="s">
        <v>23</v>
      </c>
      <c r="R18" s="76"/>
      <c r="S18" s="78"/>
      <c r="T18" s="3"/>
      <c r="U18" s="3"/>
      <c r="V18" s="3"/>
      <c r="W18" s="50"/>
      <c r="X18" s="50"/>
      <c r="Y18" s="50"/>
    </row>
    <row r="19" spans="1:25" x14ac:dyDescent="0.25">
      <c r="A19" s="43" t="s">
        <v>54</v>
      </c>
      <c r="B19" s="44" t="s">
        <v>55</v>
      </c>
      <c r="C19" s="45" t="s">
        <v>23</v>
      </c>
      <c r="D19" s="46" t="s">
        <v>23</v>
      </c>
      <c r="E19" s="46" t="s">
        <v>23</v>
      </c>
      <c r="F19" s="45" t="s">
        <v>23</v>
      </c>
      <c r="G19" s="46" t="s">
        <v>23</v>
      </c>
      <c r="H19" s="46" t="s">
        <v>23</v>
      </c>
      <c r="I19" s="45" t="s">
        <v>23</v>
      </c>
      <c r="J19" s="46" t="s">
        <v>23</v>
      </c>
      <c r="K19" s="46" t="s">
        <v>23</v>
      </c>
      <c r="L19" s="45" t="s">
        <v>23</v>
      </c>
      <c r="M19" s="46" t="s">
        <v>23</v>
      </c>
      <c r="N19" s="46" t="s">
        <v>23</v>
      </c>
      <c r="O19" s="45" t="s">
        <v>23</v>
      </c>
      <c r="P19" s="46" t="s">
        <v>23</v>
      </c>
      <c r="Q19" s="46" t="s">
        <v>23</v>
      </c>
      <c r="R19" s="76"/>
      <c r="T19" s="3"/>
      <c r="U19" s="3"/>
      <c r="V19" s="3"/>
      <c r="W19" s="50"/>
      <c r="X19" s="50"/>
      <c r="Y19" s="50"/>
    </row>
    <row r="20" spans="1:25" x14ac:dyDescent="0.25">
      <c r="A20" s="43" t="s">
        <v>56</v>
      </c>
      <c r="B20" s="44" t="s">
        <v>57</v>
      </c>
      <c r="C20" s="45" t="s">
        <v>23</v>
      </c>
      <c r="D20" s="46" t="s">
        <v>23</v>
      </c>
      <c r="E20" s="46" t="s">
        <v>23</v>
      </c>
      <c r="F20" s="45" t="s">
        <v>23</v>
      </c>
      <c r="G20" s="46" t="s">
        <v>23</v>
      </c>
      <c r="H20" s="46" t="s">
        <v>23</v>
      </c>
      <c r="I20" s="45" t="s">
        <v>23</v>
      </c>
      <c r="J20" s="46" t="s">
        <v>23</v>
      </c>
      <c r="K20" s="46" t="s">
        <v>23</v>
      </c>
      <c r="L20" s="45" t="s">
        <v>23</v>
      </c>
      <c r="M20" s="46" t="s">
        <v>23</v>
      </c>
      <c r="N20" s="46" t="s">
        <v>23</v>
      </c>
      <c r="O20" s="45" t="s">
        <v>23</v>
      </c>
      <c r="P20" s="46" t="s">
        <v>23</v>
      </c>
      <c r="Q20" s="46" t="s">
        <v>23</v>
      </c>
      <c r="R20" s="79"/>
      <c r="S20" s="80"/>
      <c r="T20" s="3"/>
      <c r="U20" s="3"/>
      <c r="V20" s="3"/>
      <c r="W20" s="50"/>
      <c r="X20" s="50"/>
      <c r="Y20" s="50"/>
    </row>
    <row r="21" spans="1:25" x14ac:dyDescent="0.25">
      <c r="A21" s="43" t="s">
        <v>58</v>
      </c>
      <c r="B21" s="44" t="s">
        <v>59</v>
      </c>
      <c r="C21" s="45" t="s">
        <v>23</v>
      </c>
      <c r="D21" s="46" t="s">
        <v>23</v>
      </c>
      <c r="E21" s="46" t="s">
        <v>23</v>
      </c>
      <c r="F21" s="45" t="s">
        <v>23</v>
      </c>
      <c r="G21" s="46" t="s">
        <v>23</v>
      </c>
      <c r="H21" s="46" t="s">
        <v>23</v>
      </c>
      <c r="I21" s="45" t="s">
        <v>23</v>
      </c>
      <c r="J21" s="46" t="s">
        <v>23</v>
      </c>
      <c r="K21" s="46" t="s">
        <v>23</v>
      </c>
      <c r="L21" s="45" t="s">
        <v>23</v>
      </c>
      <c r="M21" s="46" t="s">
        <v>23</v>
      </c>
      <c r="N21" s="46" t="s">
        <v>23</v>
      </c>
      <c r="O21" s="45" t="s">
        <v>23</v>
      </c>
      <c r="P21" s="46" t="s">
        <v>23</v>
      </c>
      <c r="Q21" s="46" t="s">
        <v>23</v>
      </c>
      <c r="R21" s="76"/>
      <c r="T21" s="3"/>
      <c r="U21" s="3"/>
      <c r="V21" s="3"/>
      <c r="W21" s="50"/>
      <c r="X21" s="50"/>
      <c r="Y21" s="50"/>
    </row>
    <row r="22" spans="1:25" x14ac:dyDescent="0.25">
      <c r="A22" s="43" t="s">
        <v>60</v>
      </c>
      <c r="B22" s="44" t="s">
        <v>61</v>
      </c>
      <c r="C22" s="45" t="s">
        <v>23</v>
      </c>
      <c r="D22" s="46" t="s">
        <v>23</v>
      </c>
      <c r="E22" s="46" t="s">
        <v>23</v>
      </c>
      <c r="F22" s="45" t="s">
        <v>23</v>
      </c>
      <c r="G22" s="46" t="s">
        <v>23</v>
      </c>
      <c r="H22" s="46" t="s">
        <v>23</v>
      </c>
      <c r="I22" s="45" t="s">
        <v>23</v>
      </c>
      <c r="J22" s="46" t="s">
        <v>23</v>
      </c>
      <c r="K22" s="46" t="s">
        <v>23</v>
      </c>
      <c r="L22" s="45" t="s">
        <v>23</v>
      </c>
      <c r="M22" s="46" t="s">
        <v>23</v>
      </c>
      <c r="N22" s="46" t="s">
        <v>23</v>
      </c>
      <c r="O22" s="45" t="s">
        <v>23</v>
      </c>
      <c r="P22" s="46" t="s">
        <v>23</v>
      </c>
      <c r="Q22" s="46" t="s">
        <v>23</v>
      </c>
      <c r="R22" s="76"/>
      <c r="S22" s="49"/>
      <c r="T22" s="3"/>
      <c r="U22" s="3"/>
      <c r="V22" s="3"/>
      <c r="W22" s="50"/>
      <c r="X22" s="50"/>
      <c r="Y22" s="50"/>
    </row>
    <row r="23" spans="1:25" x14ac:dyDescent="0.25">
      <c r="A23" s="43" t="s">
        <v>62</v>
      </c>
      <c r="B23" s="44" t="s">
        <v>63</v>
      </c>
      <c r="C23" s="45" t="s">
        <v>23</v>
      </c>
      <c r="D23" s="46" t="s">
        <v>23</v>
      </c>
      <c r="E23" s="46" t="s">
        <v>23</v>
      </c>
      <c r="F23" s="45" t="s">
        <v>23</v>
      </c>
      <c r="G23" s="46" t="s">
        <v>23</v>
      </c>
      <c r="H23" s="46" t="s">
        <v>23</v>
      </c>
      <c r="I23" s="45" t="s">
        <v>23</v>
      </c>
      <c r="J23" s="46" t="s">
        <v>23</v>
      </c>
      <c r="K23" s="46" t="s">
        <v>23</v>
      </c>
      <c r="L23" s="45" t="s">
        <v>23</v>
      </c>
      <c r="M23" s="46" t="s">
        <v>23</v>
      </c>
      <c r="N23" s="46" t="s">
        <v>23</v>
      </c>
      <c r="O23" s="45" t="s">
        <v>23</v>
      </c>
      <c r="P23" s="46" t="s">
        <v>23</v>
      </c>
      <c r="Q23" s="46" t="s">
        <v>23</v>
      </c>
      <c r="R23" s="76"/>
      <c r="S23" s="81"/>
      <c r="T23" s="3"/>
      <c r="U23" s="3"/>
      <c r="V23" s="3"/>
      <c r="W23" s="50"/>
      <c r="X23" s="50"/>
      <c r="Y23" s="50"/>
    </row>
    <row r="24" spans="1:25" x14ac:dyDescent="0.25">
      <c r="A24" s="43" t="s">
        <v>64</v>
      </c>
      <c r="B24" s="44" t="s">
        <v>65</v>
      </c>
      <c r="C24" s="45" t="s">
        <v>23</v>
      </c>
      <c r="D24" s="46" t="s">
        <v>23</v>
      </c>
      <c r="E24" s="46" t="s">
        <v>23</v>
      </c>
      <c r="F24" s="45" t="s">
        <v>23</v>
      </c>
      <c r="G24" s="46" t="s">
        <v>23</v>
      </c>
      <c r="H24" s="46" t="s">
        <v>23</v>
      </c>
      <c r="I24" s="45" t="s">
        <v>23</v>
      </c>
      <c r="J24" s="46" t="s">
        <v>23</v>
      </c>
      <c r="K24" s="46" t="s">
        <v>23</v>
      </c>
      <c r="L24" s="45" t="s">
        <v>23</v>
      </c>
      <c r="M24" s="46" t="s">
        <v>23</v>
      </c>
      <c r="N24" s="46" t="s">
        <v>23</v>
      </c>
      <c r="O24" s="45" t="s">
        <v>23</v>
      </c>
      <c r="P24" s="46" t="s">
        <v>23</v>
      </c>
      <c r="Q24" s="46" t="s">
        <v>23</v>
      </c>
      <c r="R24" s="76"/>
      <c r="S24" s="49"/>
      <c r="T24" s="3"/>
      <c r="U24" s="3"/>
      <c r="V24" s="3"/>
      <c r="W24" s="50"/>
      <c r="X24" s="50"/>
      <c r="Y24" s="50"/>
    </row>
    <row r="25" spans="1:25" x14ac:dyDescent="0.25">
      <c r="A25" s="43" t="s">
        <v>66</v>
      </c>
      <c r="B25" s="44" t="s">
        <v>67</v>
      </c>
      <c r="C25" s="45" t="s">
        <v>23</v>
      </c>
      <c r="D25" s="46" t="s">
        <v>23</v>
      </c>
      <c r="E25" s="46" t="s">
        <v>23</v>
      </c>
      <c r="F25" s="45" t="s">
        <v>23</v>
      </c>
      <c r="G25" s="46" t="s">
        <v>23</v>
      </c>
      <c r="H25" s="46" t="s">
        <v>23</v>
      </c>
      <c r="I25" s="45" t="s">
        <v>23</v>
      </c>
      <c r="J25" s="46" t="s">
        <v>23</v>
      </c>
      <c r="K25" s="46" t="s">
        <v>23</v>
      </c>
      <c r="L25" s="45" t="s">
        <v>23</v>
      </c>
      <c r="M25" s="46" t="s">
        <v>23</v>
      </c>
      <c r="N25" s="46" t="s">
        <v>23</v>
      </c>
      <c r="O25" s="45" t="s">
        <v>23</v>
      </c>
      <c r="P25" s="46" t="s">
        <v>23</v>
      </c>
      <c r="Q25" s="46" t="s">
        <v>23</v>
      </c>
      <c r="R25" s="76"/>
      <c r="S25" s="49"/>
      <c r="T25" s="3"/>
      <c r="U25" s="3"/>
      <c r="V25" s="3"/>
      <c r="W25" s="50"/>
      <c r="X25" s="50"/>
      <c r="Y25" s="50"/>
    </row>
    <row r="26" spans="1:25" x14ac:dyDescent="0.25">
      <c r="A26" s="43" t="s">
        <v>68</v>
      </c>
      <c r="B26" s="44" t="s">
        <v>69</v>
      </c>
      <c r="C26" s="45" t="s">
        <v>23</v>
      </c>
      <c r="D26" s="46" t="s">
        <v>23</v>
      </c>
      <c r="E26" s="46" t="s">
        <v>23</v>
      </c>
      <c r="F26" s="45" t="s">
        <v>23</v>
      </c>
      <c r="G26" s="46" t="s">
        <v>23</v>
      </c>
      <c r="H26" s="46" t="s">
        <v>23</v>
      </c>
      <c r="I26" s="45" t="s">
        <v>23</v>
      </c>
      <c r="J26" s="46" t="s">
        <v>23</v>
      </c>
      <c r="K26" s="46" t="s">
        <v>23</v>
      </c>
      <c r="L26" s="45" t="s">
        <v>23</v>
      </c>
      <c r="M26" s="46" t="s">
        <v>23</v>
      </c>
      <c r="N26" s="46" t="s">
        <v>23</v>
      </c>
      <c r="O26" s="45" t="s">
        <v>23</v>
      </c>
      <c r="P26" s="46" t="s">
        <v>23</v>
      </c>
      <c r="Q26" s="46" t="s">
        <v>23</v>
      </c>
      <c r="R26" s="76"/>
      <c r="S26" s="49"/>
      <c r="T26" s="3"/>
      <c r="U26" s="3"/>
      <c r="V26" s="3"/>
      <c r="W26" s="50"/>
      <c r="X26" s="50"/>
      <c r="Y26" s="50"/>
    </row>
    <row r="27" spans="1:25" x14ac:dyDescent="0.25">
      <c r="A27" s="43" t="s">
        <v>70</v>
      </c>
      <c r="B27" s="44" t="s">
        <v>71</v>
      </c>
      <c r="C27" s="45" t="s">
        <v>23</v>
      </c>
      <c r="D27" s="46" t="s">
        <v>23</v>
      </c>
      <c r="E27" s="46" t="s">
        <v>23</v>
      </c>
      <c r="F27" s="45" t="s">
        <v>23</v>
      </c>
      <c r="G27" s="46" t="s">
        <v>23</v>
      </c>
      <c r="H27" s="46" t="s">
        <v>23</v>
      </c>
      <c r="I27" s="45" t="s">
        <v>23</v>
      </c>
      <c r="J27" s="46" t="s">
        <v>23</v>
      </c>
      <c r="K27" s="46" t="s">
        <v>23</v>
      </c>
      <c r="L27" s="45" t="s">
        <v>23</v>
      </c>
      <c r="M27" s="46" t="s">
        <v>23</v>
      </c>
      <c r="N27" s="46" t="s">
        <v>23</v>
      </c>
      <c r="O27" s="45" t="s">
        <v>23</v>
      </c>
      <c r="P27" s="46" t="s">
        <v>23</v>
      </c>
      <c r="Q27" s="46" t="s">
        <v>23</v>
      </c>
      <c r="R27" s="76"/>
      <c r="T27" s="3"/>
      <c r="U27" s="3"/>
      <c r="V27" s="3"/>
      <c r="W27" s="50"/>
      <c r="X27" s="50"/>
      <c r="Y27" s="50"/>
    </row>
    <row r="28" spans="1:25" x14ac:dyDescent="0.25">
      <c r="A28" s="43" t="s">
        <v>72</v>
      </c>
      <c r="B28" s="44" t="s">
        <v>73</v>
      </c>
      <c r="C28" s="45" t="s">
        <v>23</v>
      </c>
      <c r="D28" s="46" t="s">
        <v>23</v>
      </c>
      <c r="E28" s="46" t="s">
        <v>23</v>
      </c>
      <c r="F28" s="45" t="s">
        <v>23</v>
      </c>
      <c r="G28" s="46" t="s">
        <v>23</v>
      </c>
      <c r="H28" s="46" t="s">
        <v>23</v>
      </c>
      <c r="I28" s="45" t="s">
        <v>23</v>
      </c>
      <c r="J28" s="46" t="s">
        <v>23</v>
      </c>
      <c r="K28" s="46" t="s">
        <v>23</v>
      </c>
      <c r="L28" s="45" t="s">
        <v>23</v>
      </c>
      <c r="M28" s="46" t="s">
        <v>23</v>
      </c>
      <c r="N28" s="46" t="s">
        <v>23</v>
      </c>
      <c r="O28" s="45" t="s">
        <v>23</v>
      </c>
      <c r="P28" s="46" t="s">
        <v>23</v>
      </c>
      <c r="Q28" s="46" t="s">
        <v>23</v>
      </c>
      <c r="R28" s="76"/>
      <c r="S28" s="49"/>
      <c r="T28" s="3"/>
      <c r="U28" s="3"/>
      <c r="V28" s="3"/>
      <c r="W28" s="50"/>
      <c r="X28" s="50"/>
      <c r="Y28" s="50"/>
    </row>
    <row r="29" spans="1:25" x14ac:dyDescent="0.25">
      <c r="A29" s="43" t="s">
        <v>74</v>
      </c>
      <c r="B29" s="54" t="s">
        <v>75</v>
      </c>
      <c r="C29" s="45" t="s">
        <v>23</v>
      </c>
      <c r="D29" s="46" t="s">
        <v>23</v>
      </c>
      <c r="E29" s="46" t="s">
        <v>23</v>
      </c>
      <c r="F29" s="45" t="s">
        <v>23</v>
      </c>
      <c r="G29" s="46" t="s">
        <v>23</v>
      </c>
      <c r="H29" s="46" t="s">
        <v>23</v>
      </c>
      <c r="I29" s="45" t="s">
        <v>23</v>
      </c>
      <c r="J29" s="46" t="s">
        <v>23</v>
      </c>
      <c r="K29" s="46" t="s">
        <v>23</v>
      </c>
      <c r="L29" s="45" t="s">
        <v>23</v>
      </c>
      <c r="M29" s="46" t="s">
        <v>23</v>
      </c>
      <c r="N29" s="46" t="s">
        <v>23</v>
      </c>
      <c r="O29" s="45" t="s">
        <v>23</v>
      </c>
      <c r="P29" s="46" t="s">
        <v>23</v>
      </c>
      <c r="Q29" s="46" t="s">
        <v>23</v>
      </c>
      <c r="R29" s="76"/>
      <c r="S29" s="49"/>
      <c r="T29" s="3"/>
      <c r="U29" s="3"/>
      <c r="V29" s="3"/>
      <c r="W29" s="50"/>
      <c r="X29" s="50"/>
      <c r="Y29" s="50"/>
    </row>
    <row r="30" spans="1:25" x14ac:dyDescent="0.25">
      <c r="A30" s="43" t="s">
        <v>76</v>
      </c>
      <c r="B30" s="54" t="s">
        <v>77</v>
      </c>
      <c r="C30" s="45" t="s">
        <v>23</v>
      </c>
      <c r="D30" s="46" t="s">
        <v>23</v>
      </c>
      <c r="E30" s="46" t="s">
        <v>23</v>
      </c>
      <c r="F30" s="45" t="s">
        <v>23</v>
      </c>
      <c r="G30" s="46" t="s">
        <v>23</v>
      </c>
      <c r="H30" s="46" t="s">
        <v>23</v>
      </c>
      <c r="I30" s="45" t="s">
        <v>23</v>
      </c>
      <c r="J30" s="46" t="s">
        <v>23</v>
      </c>
      <c r="K30" s="46" t="s">
        <v>23</v>
      </c>
      <c r="L30" s="45" t="s">
        <v>23</v>
      </c>
      <c r="M30" s="46" t="s">
        <v>23</v>
      </c>
      <c r="N30" s="46" t="s">
        <v>23</v>
      </c>
      <c r="O30" s="45" t="s">
        <v>23</v>
      </c>
      <c r="P30" s="46" t="s">
        <v>23</v>
      </c>
      <c r="Q30" s="46" t="s">
        <v>23</v>
      </c>
      <c r="R30" s="76"/>
      <c r="S30" s="49"/>
      <c r="T30" s="3"/>
      <c r="U30" s="3"/>
      <c r="V30" s="3"/>
      <c r="W30" s="50"/>
      <c r="X30" s="50"/>
      <c r="Y30" s="50"/>
    </row>
    <row r="31" spans="1:25" x14ac:dyDescent="0.25">
      <c r="A31" s="43" t="s">
        <v>78</v>
      </c>
      <c r="B31" s="54" t="s">
        <v>79</v>
      </c>
      <c r="C31" s="45" t="s">
        <v>23</v>
      </c>
      <c r="D31" s="46" t="s">
        <v>23</v>
      </c>
      <c r="E31" s="46" t="s">
        <v>23</v>
      </c>
      <c r="F31" s="45" t="s">
        <v>23</v>
      </c>
      <c r="G31" s="46" t="s">
        <v>23</v>
      </c>
      <c r="H31" s="46" t="s">
        <v>23</v>
      </c>
      <c r="I31" s="45" t="s">
        <v>23</v>
      </c>
      <c r="J31" s="46" t="s">
        <v>23</v>
      </c>
      <c r="K31" s="46" t="s">
        <v>23</v>
      </c>
      <c r="L31" s="45" t="s">
        <v>23</v>
      </c>
      <c r="M31" s="46" t="s">
        <v>23</v>
      </c>
      <c r="N31" s="46" t="s">
        <v>23</v>
      </c>
      <c r="O31" s="45" t="s">
        <v>23</v>
      </c>
      <c r="P31" s="46" t="s">
        <v>23</v>
      </c>
      <c r="Q31" s="46" t="s">
        <v>23</v>
      </c>
      <c r="R31" s="76"/>
      <c r="S31" s="49"/>
      <c r="T31" s="3"/>
      <c r="U31" s="3"/>
      <c r="V31" s="3"/>
      <c r="W31" s="50"/>
      <c r="X31" s="50"/>
      <c r="Y31" s="50"/>
    </row>
    <row r="32" spans="2:17" x14ac:dyDescent="0.25">
      <c r="B32" s="55" t="s">
        <v>80</v>
      </c>
      <c r="C32" s="57">
        <f>SUM(C15:C31)</f>
        <v>0</v>
      </c>
      <c r="D32" s="58"/>
      <c r="E32" s="58"/>
      <c r="F32" s="57">
        <f>SUM(F15:F31)</f>
        <v>0</v>
      </c>
      <c r="G32" s="58"/>
      <c r="H32" s="58"/>
      <c r="I32" s="57">
        <f>SUM(I15:I31)</f>
        <v>0</v>
      </c>
      <c r="J32" s="58"/>
      <c r="K32" s="58"/>
      <c r="L32" s="57">
        <f>SUM(L15:L31)</f>
        <v>0</v>
      </c>
      <c r="M32" s="58"/>
      <c r="N32" s="58"/>
      <c r="O32" s="57">
        <f>SUM(O15:O31)</f>
        <v>0</v>
      </c>
      <c r="P32" s="58"/>
      <c r="Q32" s="58"/>
    </row>
    <row r="35" spans="1:2" x14ac:dyDescent="0.25">
      <c r="A35" s="59" t="s">
        <v>81</v>
      </c>
      <c r="B35" s="60">
        <v>2023</v>
      </c>
    </row>
    <row r="1048568" spans="16382:16382" x14ac:dyDescent="0.25">
      <c r="XFB1048568" s="61" t="str">
        <f>"Primer Trimestre"&amp;" "&amp;$B$35</f>
        <v>Primer Trimestre 2023</v>
      </c>
    </row>
    <row r="1048569" spans="16382:16382" x14ac:dyDescent="0.25">
      <c r="XFB1048569" s="61" t="str">
        <f>"Segundo Trimestre"&amp;" "&amp;$B$35</f>
        <v>Segundo Trimestre 2023</v>
      </c>
    </row>
    <row r="1048570" spans="16382:16382" x14ac:dyDescent="0.25">
      <c r="XFB1048570" s="61" t="str">
        <f>"Tercer Trimestre"&amp;" "&amp;$B$35</f>
        <v>Tercer Trimestre 2023</v>
      </c>
    </row>
    <row r="1048571" spans="16382:16382" x14ac:dyDescent="0.25">
      <c r="XFB1048571" s="61" t="str">
        <f>"Cuarto Trimestre"&amp;" "&amp;$B$35</f>
        <v>Cuarto Trimestre 2023</v>
      </c>
    </row>
  </sheetData>
  <mergeCells count="23">
    <mergeCell ref="A7:Q7"/>
    <mergeCell ref="A8:Q8"/>
    <mergeCell ref="C10:E10"/>
    <mergeCell ref="F10:H10"/>
    <mergeCell ref="I10:K10"/>
    <mergeCell ref="L10:N10"/>
    <mergeCell ref="O10:Q10"/>
    <mergeCell ref="A10:A13"/>
    <mergeCell ref="B10:B13"/>
    <mergeCell ref="G11:H11"/>
    <mergeCell ref="J11:K11"/>
    <mergeCell ref="M11:N11"/>
    <mergeCell ref="P11:Q11"/>
    <mergeCell ref="C11:C12"/>
    <mergeCell ref="F11:F12"/>
    <mergeCell ref="I11:I12"/>
    <mergeCell ref="L11:L12"/>
    <mergeCell ref="O11:O12"/>
    <mergeCell ref="D13:E13"/>
    <mergeCell ref="G13:H13"/>
    <mergeCell ref="J13:K13"/>
    <mergeCell ref="M13:N13"/>
    <mergeCell ref="P13:Q13"/>
  </mergeCells>
  <printOptions horizontalCentered="1"/>
  <pageMargins left="0.7086614173228347" right="0.7086614173228347" top="0.5905511811023623" bottom="0.5511811023622047" header="0.31496062992125984" footer="0.31496062992125984"/>
  <pageSetup orientation="landscape" horizontalDpi="4294967295" verticalDpi="4294967295" scale="82" fitToWidth="1" fitToHeight="1" firstPageNumber="1" useFirstPageNumber="1" copies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XFB1048569"/>
  <sheetViews>
    <sheetView workbookViewId="0" showGridLines="0" zoomScale="80" zoomScaleNormal="80">
      <pane ySplit="14" topLeftCell="A15" activePane="bottomLeft" state="frozen"/>
      <selection pane="bottomLeft" activeCell="A15" sqref="A15"/>
    </sheetView>
  </sheetViews>
  <sheetFormatPr defaultRowHeight="13.2" outlineLevelRow="0" outlineLevelCol="0" x14ac:dyDescent="0.25" defaultColWidth="12" customHeight="1"/>
  <cols>
    <col min="1" max="1" width="11.140625" style="1" customWidth="1"/>
    <col min="2" max="2" width="60.85546875" style="2" customWidth="1"/>
    <col min="3" max="3" width="14.28515625" style="3" customWidth="1"/>
    <col min="4" max="4" width="9" style="3" customWidth="1"/>
    <col min="5" max="5" width="7" style="3" customWidth="1"/>
    <col min="6" max="6" width="9" style="3" customWidth="1"/>
    <col min="7" max="7" width="8.7109375" style="3" customWidth="1"/>
    <col min="8" max="8" width="14.28515625" style="3" customWidth="1"/>
    <col min="9" max="9" width="8.7109375" style="3" customWidth="1"/>
    <col min="10" max="10" width="7.42578125" style="3" customWidth="1"/>
    <col min="11" max="12" width="8.7109375" style="3" customWidth="1"/>
    <col min="13" max="13" width="12.7109375" style="3" customWidth="1"/>
    <col min="14" max="14" width="8.7109375" style="3" customWidth="1"/>
    <col min="15" max="15" width="7" style="3" customWidth="1"/>
    <col min="16" max="16" width="9" style="2" customWidth="1"/>
    <col min="17" max="17" width="8.7109375" style="2" customWidth="1"/>
    <col min="18" max="16384" width="12" style="2" customWidth="1"/>
  </cols>
  <sheetData>
    <row r="6" ht="28.5" customHeight="1" spans="1:17" x14ac:dyDescent="0.25">
      <c r="A6" s="5" t="s">
        <v>0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8" t="s">
        <v>104</v>
      </c>
    </row>
    <row r="7" spans="1:17" x14ac:dyDescent="0.25">
      <c r="A7" s="82" t="s">
        <v>2</v>
      </c>
      <c r="B7" s="82"/>
      <c r="C7" s="82"/>
      <c r="D7" s="82"/>
      <c r="E7" s="82"/>
      <c r="F7" s="82"/>
      <c r="G7" s="82"/>
      <c r="H7" s="82"/>
      <c r="I7" s="82"/>
      <c r="J7" s="82"/>
      <c r="K7" s="82"/>
      <c r="L7" s="82"/>
      <c r="M7" s="82"/>
      <c r="N7" s="82"/>
      <c r="O7" s="82"/>
      <c r="P7" s="82"/>
      <c r="Q7" s="82"/>
    </row>
    <row r="8" spans="1:17" x14ac:dyDescent="0.25">
      <c r="A8" s="64" t="s">
        <v>3</v>
      </c>
      <c r="B8" s="64"/>
      <c r="C8" s="64"/>
      <c r="D8" s="64"/>
      <c r="E8" s="64"/>
      <c r="F8" s="64"/>
      <c r="G8" s="64"/>
      <c r="H8" s="64"/>
      <c r="I8" s="64"/>
      <c r="J8" s="64"/>
      <c r="K8" s="64"/>
      <c r="L8" s="64"/>
      <c r="M8" s="64"/>
      <c r="N8" s="64"/>
      <c r="O8" s="64"/>
      <c r="P8" s="64"/>
      <c r="Q8" s="64"/>
    </row>
    <row r="9" ht="13.8" customHeight="1" spans="1:17" x14ac:dyDescent="0.25">
      <c r="A9" s="64"/>
      <c r="B9" s="64"/>
      <c r="C9" s="64"/>
      <c r="D9" s="64"/>
      <c r="E9" s="64"/>
      <c r="F9" s="64"/>
      <c r="G9" s="64"/>
      <c r="H9" s="64"/>
      <c r="I9" s="64"/>
      <c r="J9" s="64"/>
      <c r="K9" s="64"/>
      <c r="L9" s="64"/>
      <c r="M9" s="64"/>
      <c r="N9" s="64"/>
      <c r="O9" s="64"/>
      <c r="P9" s="64"/>
      <c r="Q9" s="65" t="s">
        <v>82</v>
      </c>
    </row>
    <row r="10" ht="13.5" customHeight="1" spans="1:17" s="11" customFormat="1" x14ac:dyDescent="0.25">
      <c r="A10" s="12" t="s">
        <v>4</v>
      </c>
      <c r="B10" s="12" t="s">
        <v>5</v>
      </c>
      <c r="C10" s="66" t="s">
        <v>105</v>
      </c>
      <c r="D10" s="67"/>
      <c r="E10" s="67"/>
      <c r="F10" s="67"/>
      <c r="G10" s="20"/>
      <c r="H10" s="66" t="s">
        <v>106</v>
      </c>
      <c r="I10" s="67"/>
      <c r="J10" s="67"/>
      <c r="K10" s="67"/>
      <c r="L10" s="20"/>
      <c r="M10" s="66" t="s">
        <v>107</v>
      </c>
      <c r="N10" s="67"/>
      <c r="O10" s="67"/>
      <c r="P10" s="67"/>
      <c r="Q10" s="67"/>
    </row>
    <row r="11" ht="13.8" customHeight="1" spans="1:17" s="11" customFormat="1" x14ac:dyDescent="0.25">
      <c r="A11" s="19"/>
      <c r="B11" s="19"/>
      <c r="C11" s="25" t="s">
        <v>12</v>
      </c>
      <c r="D11" s="23" t="s">
        <v>15</v>
      </c>
      <c r="E11" s="83"/>
      <c r="F11" s="83"/>
      <c r="G11" s="24"/>
      <c r="H11" s="25" t="s">
        <v>12</v>
      </c>
      <c r="I11" s="23" t="s">
        <v>15</v>
      </c>
      <c r="J11" s="83"/>
      <c r="K11" s="83"/>
      <c r="L11" s="24"/>
      <c r="M11" s="30" t="s">
        <v>12</v>
      </c>
      <c r="N11" s="66" t="s">
        <v>15</v>
      </c>
      <c r="O11" s="67"/>
      <c r="P11" s="67"/>
      <c r="Q11" s="67"/>
    </row>
    <row r="12" ht="13.8" customHeight="1" spans="1:17" s="11" customFormat="1" x14ac:dyDescent="0.25">
      <c r="A12" s="19"/>
      <c r="B12" s="19"/>
      <c r="C12" s="84"/>
      <c r="D12" s="26">
        <f>+B35</f>
        <v>2023</v>
      </c>
      <c r="E12" s="26">
        <f>+D12-1</f>
        <v>2022</v>
      </c>
      <c r="F12" s="26">
        <f>+B35</f>
        <v>2023</v>
      </c>
      <c r="G12" s="26">
        <f>+F12-1</f>
        <v>2022</v>
      </c>
      <c r="H12" s="84"/>
      <c r="I12" s="26">
        <f>+B35</f>
        <v>2023</v>
      </c>
      <c r="J12" s="26">
        <f>+I12-1</f>
        <v>2022</v>
      </c>
      <c r="K12" s="26">
        <f>+B35</f>
        <v>2023</v>
      </c>
      <c r="L12" s="26">
        <f>+K12-1</f>
        <v>2022</v>
      </c>
      <c r="M12" s="84"/>
      <c r="N12" s="26">
        <f>+B35</f>
        <v>2023</v>
      </c>
      <c r="O12" s="26">
        <f>+N12-1</f>
        <v>2022</v>
      </c>
      <c r="P12" s="85">
        <f>+B35</f>
        <v>2023</v>
      </c>
      <c r="Q12" s="85">
        <f>+P12-1</f>
        <v>2022</v>
      </c>
    </row>
    <row r="13" spans="1:17" s="11" customFormat="1" x14ac:dyDescent="0.25">
      <c r="A13" s="31"/>
      <c r="B13" s="31"/>
      <c r="C13" s="86" t="s">
        <v>70</v>
      </c>
      <c r="D13" s="73" t="s">
        <v>108</v>
      </c>
      <c r="E13" s="74"/>
      <c r="F13" s="73" t="s">
        <v>109</v>
      </c>
      <c r="G13" s="74"/>
      <c r="H13" s="86" t="s">
        <v>72</v>
      </c>
      <c r="I13" s="73" t="s">
        <v>110</v>
      </c>
      <c r="J13" s="74"/>
      <c r="K13" s="73" t="s">
        <v>111</v>
      </c>
      <c r="L13" s="74"/>
      <c r="M13" s="86" t="s">
        <v>74</v>
      </c>
      <c r="N13" s="73" t="s">
        <v>112</v>
      </c>
      <c r="O13" s="74"/>
      <c r="P13" s="73" t="s">
        <v>113</v>
      </c>
      <c r="Q13" s="74"/>
    </row>
    <row r="14" ht="2.25" customHeight="1" spans="1:15" s="11" customFormat="1" x14ac:dyDescent="0.25">
      <c r="A14" s="39"/>
      <c r="B14" s="39"/>
      <c r="C14" s="75"/>
      <c r="D14" s="40"/>
      <c r="E14" s="40"/>
      <c r="F14" s="40"/>
      <c r="G14" s="40"/>
      <c r="H14" s="75"/>
      <c r="I14" s="40"/>
      <c r="J14" s="40"/>
      <c r="K14" s="40"/>
      <c r="L14" s="40"/>
      <c r="M14" s="75"/>
      <c r="N14" s="40"/>
      <c r="O14" s="40"/>
    </row>
    <row r="15" spans="1:24" x14ac:dyDescent="0.25">
      <c r="A15" s="43" t="s">
        <v>21</v>
      </c>
      <c r="B15" s="44" t="s">
        <v>22</v>
      </c>
      <c r="C15" s="45" t="s">
        <v>23</v>
      </c>
      <c r="D15" s="46" t="s">
        <v>23</v>
      </c>
      <c r="E15" s="46" t="s">
        <v>23</v>
      </c>
      <c r="F15" s="46" t="s">
        <v>23</v>
      </c>
      <c r="G15" s="46" t="s">
        <v>23</v>
      </c>
      <c r="H15" s="45" t="s">
        <v>23</v>
      </c>
      <c r="I15" s="46" t="s">
        <v>23</v>
      </c>
      <c r="J15" s="46" t="s">
        <v>23</v>
      </c>
      <c r="K15" s="46" t="s">
        <v>23</v>
      </c>
      <c r="L15" s="46" t="s">
        <v>23</v>
      </c>
      <c r="M15" s="45" t="s">
        <v>23</v>
      </c>
      <c r="N15" s="46" t="s">
        <v>23</v>
      </c>
      <c r="O15" s="46" t="s">
        <v>23</v>
      </c>
      <c r="P15" s="46" t="s">
        <v>23</v>
      </c>
      <c r="Q15" s="46" t="s">
        <v>23</v>
      </c>
      <c r="R15" s="3"/>
      <c r="S15" s="3"/>
      <c r="T15" s="3"/>
      <c r="U15" s="3"/>
      <c r="V15" s="50"/>
      <c r="W15" s="50"/>
      <c r="X15" s="50"/>
    </row>
    <row r="16" spans="1:24" x14ac:dyDescent="0.25">
      <c r="A16" s="43" t="s">
        <v>33</v>
      </c>
      <c r="B16" s="44" t="s">
        <v>34</v>
      </c>
      <c r="C16" s="45" t="s">
        <v>114</v>
      </c>
      <c r="D16" s="46" t="s">
        <v>115</v>
      </c>
      <c r="E16" s="46" t="s">
        <v>116</v>
      </c>
      <c r="F16" s="46" t="s">
        <v>117</v>
      </c>
      <c r="G16" s="46" t="s">
        <v>118</v>
      </c>
      <c r="H16" s="45" t="s">
        <v>119</v>
      </c>
      <c r="I16" s="46" t="s">
        <v>120</v>
      </c>
      <c r="J16" s="46" t="s">
        <v>121</v>
      </c>
      <c r="K16" s="46" t="s">
        <v>122</v>
      </c>
      <c r="L16" s="46" t="s">
        <v>123</v>
      </c>
      <c r="M16" s="45" t="s">
        <v>124</v>
      </c>
      <c r="N16" s="46" t="s">
        <v>125</v>
      </c>
      <c r="O16" s="46" t="s">
        <v>126</v>
      </c>
      <c r="P16" s="46" t="s">
        <v>127</v>
      </c>
      <c r="Q16" s="46" t="s">
        <v>128</v>
      </c>
      <c r="R16" s="3"/>
      <c r="S16" s="3"/>
      <c r="T16" s="3"/>
      <c r="U16" s="3"/>
      <c r="V16" s="50"/>
      <c r="W16" s="50"/>
      <c r="X16" s="50"/>
    </row>
    <row r="17" spans="1:24" x14ac:dyDescent="0.25">
      <c r="A17" s="43" t="s">
        <v>50</v>
      </c>
      <c r="B17" s="44" t="s">
        <v>51</v>
      </c>
      <c r="C17" s="45" t="s">
        <v>23</v>
      </c>
      <c r="D17" s="46" t="s">
        <v>23</v>
      </c>
      <c r="E17" s="46" t="s">
        <v>23</v>
      </c>
      <c r="F17" s="46" t="s">
        <v>23</v>
      </c>
      <c r="G17" s="46" t="s">
        <v>23</v>
      </c>
      <c r="H17" s="45" t="s">
        <v>23</v>
      </c>
      <c r="I17" s="46" t="s">
        <v>23</v>
      </c>
      <c r="J17" s="46" t="s">
        <v>23</v>
      </c>
      <c r="K17" s="46" t="s">
        <v>23</v>
      </c>
      <c r="L17" s="46" t="s">
        <v>23</v>
      </c>
      <c r="M17" s="45" t="s">
        <v>23</v>
      </c>
      <c r="N17" s="46" t="s">
        <v>23</v>
      </c>
      <c r="O17" s="46" t="s">
        <v>23</v>
      </c>
      <c r="P17" s="46" t="s">
        <v>23</v>
      </c>
      <c r="Q17" s="46" t="s">
        <v>23</v>
      </c>
      <c r="R17" s="3"/>
      <c r="S17" s="3"/>
      <c r="T17" s="3"/>
      <c r="U17" s="3"/>
      <c r="V17" s="50"/>
      <c r="W17" s="50"/>
      <c r="X17" s="50"/>
    </row>
    <row r="18" spans="1:24" x14ac:dyDescent="0.25">
      <c r="A18" s="43" t="s">
        <v>52</v>
      </c>
      <c r="B18" s="44" t="s">
        <v>53</v>
      </c>
      <c r="C18" s="45" t="s">
        <v>23</v>
      </c>
      <c r="D18" s="46" t="s">
        <v>23</v>
      </c>
      <c r="E18" s="46" t="s">
        <v>23</v>
      </c>
      <c r="F18" s="46" t="s">
        <v>23</v>
      </c>
      <c r="G18" s="46" t="s">
        <v>23</v>
      </c>
      <c r="H18" s="45" t="s">
        <v>23</v>
      </c>
      <c r="I18" s="46" t="s">
        <v>23</v>
      </c>
      <c r="J18" s="46" t="s">
        <v>23</v>
      </c>
      <c r="K18" s="46" t="s">
        <v>23</v>
      </c>
      <c r="L18" s="46" t="s">
        <v>23</v>
      </c>
      <c r="M18" s="45" t="s">
        <v>23</v>
      </c>
      <c r="N18" s="46" t="s">
        <v>23</v>
      </c>
      <c r="O18" s="46" t="s">
        <v>23</v>
      </c>
      <c r="P18" s="46" t="s">
        <v>23</v>
      </c>
      <c r="Q18" s="46" t="s">
        <v>23</v>
      </c>
      <c r="R18" s="3"/>
      <c r="S18" s="3"/>
      <c r="T18" s="3"/>
      <c r="U18" s="3"/>
      <c r="V18" s="50"/>
      <c r="W18" s="50"/>
      <c r="X18" s="50"/>
    </row>
    <row r="19" spans="1:24" x14ac:dyDescent="0.25">
      <c r="A19" s="87" t="s">
        <v>54</v>
      </c>
      <c r="B19" s="88" t="s">
        <v>55</v>
      </c>
      <c r="C19" s="89" t="s">
        <v>23</v>
      </c>
      <c r="D19" s="46" t="s">
        <v>23</v>
      </c>
      <c r="E19" s="46" t="s">
        <v>23</v>
      </c>
      <c r="F19" s="46" t="s">
        <v>23</v>
      </c>
      <c r="G19" s="46" t="s">
        <v>23</v>
      </c>
      <c r="H19" s="45" t="s">
        <v>23</v>
      </c>
      <c r="I19" s="46" t="s">
        <v>23</v>
      </c>
      <c r="J19" s="46" t="s">
        <v>23</v>
      </c>
      <c r="K19" s="46" t="s">
        <v>23</v>
      </c>
      <c r="L19" s="46" t="s">
        <v>23</v>
      </c>
      <c r="M19" s="45" t="s">
        <v>23</v>
      </c>
      <c r="N19" s="46" t="s">
        <v>23</v>
      </c>
      <c r="O19" s="46" t="s">
        <v>23</v>
      </c>
      <c r="P19" s="46" t="s">
        <v>23</v>
      </c>
      <c r="Q19" s="90" t="s">
        <v>23</v>
      </c>
      <c r="R19" s="3"/>
      <c r="S19" s="3"/>
      <c r="T19" s="3"/>
      <c r="U19" s="3"/>
      <c r="V19" s="50"/>
      <c r="W19" s="50"/>
      <c r="X19" s="50"/>
    </row>
    <row r="20" spans="1:24" x14ac:dyDescent="0.25">
      <c r="A20" s="87" t="s">
        <v>56</v>
      </c>
      <c r="B20" s="88" t="s">
        <v>57</v>
      </c>
      <c r="C20" s="89" t="s">
        <v>23</v>
      </c>
      <c r="D20" s="46" t="s">
        <v>23</v>
      </c>
      <c r="E20" s="46" t="s">
        <v>23</v>
      </c>
      <c r="F20" s="46" t="s">
        <v>23</v>
      </c>
      <c r="G20" s="46" t="s">
        <v>23</v>
      </c>
      <c r="H20" s="45" t="s">
        <v>23</v>
      </c>
      <c r="I20" s="46" t="s">
        <v>23</v>
      </c>
      <c r="J20" s="46" t="s">
        <v>23</v>
      </c>
      <c r="K20" s="46" t="s">
        <v>23</v>
      </c>
      <c r="L20" s="46" t="s">
        <v>23</v>
      </c>
      <c r="M20" s="45" t="s">
        <v>23</v>
      </c>
      <c r="N20" s="46" t="s">
        <v>23</v>
      </c>
      <c r="O20" s="46" t="s">
        <v>23</v>
      </c>
      <c r="P20" s="46" t="s">
        <v>23</v>
      </c>
      <c r="Q20" s="90" t="s">
        <v>23</v>
      </c>
      <c r="R20" s="3"/>
      <c r="S20" s="3"/>
      <c r="T20" s="3"/>
      <c r="U20" s="3"/>
      <c r="V20" s="50"/>
      <c r="W20" s="50"/>
      <c r="X20" s="50"/>
    </row>
    <row r="21" spans="1:24" x14ac:dyDescent="0.25">
      <c r="A21" s="87" t="s">
        <v>58</v>
      </c>
      <c r="B21" s="88" t="s">
        <v>59</v>
      </c>
      <c r="C21" s="89" t="s">
        <v>23</v>
      </c>
      <c r="D21" s="46" t="s">
        <v>23</v>
      </c>
      <c r="E21" s="46" t="s">
        <v>23</v>
      </c>
      <c r="F21" s="46" t="s">
        <v>23</v>
      </c>
      <c r="G21" s="46" t="s">
        <v>23</v>
      </c>
      <c r="H21" s="45" t="s">
        <v>23</v>
      </c>
      <c r="I21" s="46" t="s">
        <v>23</v>
      </c>
      <c r="J21" s="46" t="s">
        <v>23</v>
      </c>
      <c r="K21" s="46" t="s">
        <v>23</v>
      </c>
      <c r="L21" s="46" t="s">
        <v>23</v>
      </c>
      <c r="M21" s="45" t="s">
        <v>23</v>
      </c>
      <c r="N21" s="46" t="s">
        <v>23</v>
      </c>
      <c r="O21" s="46" t="s">
        <v>23</v>
      </c>
      <c r="P21" s="46" t="s">
        <v>23</v>
      </c>
      <c r="Q21" s="90" t="s">
        <v>23</v>
      </c>
      <c r="R21" s="3"/>
      <c r="S21" s="3"/>
      <c r="T21" s="3"/>
      <c r="U21" s="3"/>
      <c r="V21" s="50"/>
      <c r="W21" s="50"/>
      <c r="X21" s="50"/>
    </row>
    <row r="22" spans="1:24" x14ac:dyDescent="0.25">
      <c r="A22" s="87" t="s">
        <v>60</v>
      </c>
      <c r="B22" s="88" t="s">
        <v>61</v>
      </c>
      <c r="C22" s="89" t="s">
        <v>23</v>
      </c>
      <c r="D22" s="46" t="s">
        <v>23</v>
      </c>
      <c r="E22" s="46" t="s">
        <v>23</v>
      </c>
      <c r="F22" s="46" t="s">
        <v>23</v>
      </c>
      <c r="G22" s="46" t="s">
        <v>23</v>
      </c>
      <c r="H22" s="45" t="s">
        <v>23</v>
      </c>
      <c r="I22" s="46" t="s">
        <v>23</v>
      </c>
      <c r="J22" s="46" t="s">
        <v>23</v>
      </c>
      <c r="K22" s="46" t="s">
        <v>23</v>
      </c>
      <c r="L22" s="46" t="s">
        <v>23</v>
      </c>
      <c r="M22" s="45" t="s">
        <v>23</v>
      </c>
      <c r="N22" s="46" t="s">
        <v>23</v>
      </c>
      <c r="O22" s="46" t="s">
        <v>23</v>
      </c>
      <c r="P22" s="46" t="s">
        <v>23</v>
      </c>
      <c r="Q22" s="90" t="s">
        <v>23</v>
      </c>
      <c r="R22" s="3"/>
      <c r="S22" s="3"/>
      <c r="T22" s="3"/>
      <c r="U22" s="3"/>
      <c r="V22" s="50"/>
      <c r="W22" s="50"/>
      <c r="X22" s="50"/>
    </row>
    <row r="23" spans="1:24" x14ac:dyDescent="0.25">
      <c r="A23" s="87" t="s">
        <v>62</v>
      </c>
      <c r="B23" s="88" t="s">
        <v>63</v>
      </c>
      <c r="C23" s="89" t="s">
        <v>23</v>
      </c>
      <c r="D23" s="46" t="s">
        <v>23</v>
      </c>
      <c r="E23" s="46" t="s">
        <v>23</v>
      </c>
      <c r="F23" s="46" t="s">
        <v>23</v>
      </c>
      <c r="G23" s="46" t="s">
        <v>23</v>
      </c>
      <c r="H23" s="45" t="s">
        <v>23</v>
      </c>
      <c r="I23" s="46" t="s">
        <v>23</v>
      </c>
      <c r="J23" s="46" t="s">
        <v>23</v>
      </c>
      <c r="K23" s="46" t="s">
        <v>23</v>
      </c>
      <c r="L23" s="46" t="s">
        <v>23</v>
      </c>
      <c r="M23" s="45" t="s">
        <v>23</v>
      </c>
      <c r="N23" s="46" t="s">
        <v>23</v>
      </c>
      <c r="O23" s="46" t="s">
        <v>23</v>
      </c>
      <c r="P23" s="46" t="s">
        <v>23</v>
      </c>
      <c r="Q23" s="90" t="s">
        <v>23</v>
      </c>
      <c r="R23" s="3"/>
      <c r="S23" s="3"/>
      <c r="T23" s="3"/>
      <c r="U23" s="3"/>
      <c r="V23" s="50"/>
      <c r="W23" s="50"/>
      <c r="X23" s="50"/>
    </row>
    <row r="24" spans="1:24" x14ac:dyDescent="0.25">
      <c r="A24" s="87" t="s">
        <v>64</v>
      </c>
      <c r="B24" s="88" t="s">
        <v>65</v>
      </c>
      <c r="C24" s="89" t="s">
        <v>23</v>
      </c>
      <c r="D24" s="46" t="s">
        <v>23</v>
      </c>
      <c r="E24" s="46" t="s">
        <v>23</v>
      </c>
      <c r="F24" s="46" t="s">
        <v>23</v>
      </c>
      <c r="G24" s="46" t="s">
        <v>23</v>
      </c>
      <c r="H24" s="45" t="s">
        <v>23</v>
      </c>
      <c r="I24" s="46" t="s">
        <v>23</v>
      </c>
      <c r="J24" s="46" t="s">
        <v>23</v>
      </c>
      <c r="K24" s="46" t="s">
        <v>23</v>
      </c>
      <c r="L24" s="46" t="s">
        <v>23</v>
      </c>
      <c r="M24" s="45" t="s">
        <v>23</v>
      </c>
      <c r="N24" s="46" t="s">
        <v>23</v>
      </c>
      <c r="O24" s="46" t="s">
        <v>23</v>
      </c>
      <c r="P24" s="46" t="s">
        <v>23</v>
      </c>
      <c r="Q24" s="90" t="s">
        <v>23</v>
      </c>
      <c r="R24" s="3"/>
      <c r="S24" s="3"/>
      <c r="T24" s="3"/>
      <c r="U24" s="3"/>
      <c r="V24" s="50"/>
      <c r="W24" s="50"/>
      <c r="X24" s="50"/>
    </row>
    <row r="25" spans="1:24" x14ac:dyDescent="0.25">
      <c r="A25" s="87" t="s">
        <v>66</v>
      </c>
      <c r="B25" s="88" t="s">
        <v>67</v>
      </c>
      <c r="C25" s="89" t="s">
        <v>23</v>
      </c>
      <c r="D25" s="46" t="s">
        <v>23</v>
      </c>
      <c r="E25" s="46" t="s">
        <v>23</v>
      </c>
      <c r="F25" s="46" t="s">
        <v>23</v>
      </c>
      <c r="G25" s="46" t="s">
        <v>23</v>
      </c>
      <c r="H25" s="45" t="s">
        <v>23</v>
      </c>
      <c r="I25" s="46" t="s">
        <v>23</v>
      </c>
      <c r="J25" s="46" t="s">
        <v>23</v>
      </c>
      <c r="K25" s="46" t="s">
        <v>23</v>
      </c>
      <c r="L25" s="46" t="s">
        <v>23</v>
      </c>
      <c r="M25" s="45" t="s">
        <v>23</v>
      </c>
      <c r="N25" s="46" t="s">
        <v>23</v>
      </c>
      <c r="O25" s="46" t="s">
        <v>23</v>
      </c>
      <c r="P25" s="46" t="s">
        <v>23</v>
      </c>
      <c r="Q25" s="90" t="s">
        <v>23</v>
      </c>
      <c r="R25" s="3"/>
      <c r="S25" s="3"/>
      <c r="T25" s="3"/>
      <c r="U25" s="3"/>
      <c r="V25" s="50"/>
      <c r="W25" s="50"/>
      <c r="X25" s="50"/>
    </row>
    <row r="26" spans="1:24" x14ac:dyDescent="0.25">
      <c r="A26" s="87" t="s">
        <v>68</v>
      </c>
      <c r="B26" s="88" t="s">
        <v>69</v>
      </c>
      <c r="C26" s="89" t="s">
        <v>23</v>
      </c>
      <c r="D26" s="46" t="s">
        <v>23</v>
      </c>
      <c r="E26" s="46" t="s">
        <v>23</v>
      </c>
      <c r="F26" s="46" t="s">
        <v>23</v>
      </c>
      <c r="G26" s="46" t="s">
        <v>23</v>
      </c>
      <c r="H26" s="45" t="s">
        <v>23</v>
      </c>
      <c r="I26" s="46" t="s">
        <v>23</v>
      </c>
      <c r="J26" s="46" t="s">
        <v>23</v>
      </c>
      <c r="K26" s="46" t="s">
        <v>23</v>
      </c>
      <c r="L26" s="46" t="s">
        <v>23</v>
      </c>
      <c r="M26" s="45" t="s">
        <v>23</v>
      </c>
      <c r="N26" s="46" t="s">
        <v>23</v>
      </c>
      <c r="O26" s="46" t="s">
        <v>23</v>
      </c>
      <c r="P26" s="46" t="s">
        <v>23</v>
      </c>
      <c r="Q26" s="90" t="s">
        <v>23</v>
      </c>
      <c r="R26" s="3"/>
      <c r="S26" s="3"/>
      <c r="T26" s="3"/>
      <c r="U26" s="3"/>
      <c r="V26" s="50"/>
      <c r="W26" s="50"/>
      <c r="X26" s="50"/>
    </row>
    <row r="27" spans="1:24" x14ac:dyDescent="0.25">
      <c r="A27" s="87" t="s">
        <v>70</v>
      </c>
      <c r="B27" s="88" t="s">
        <v>71</v>
      </c>
      <c r="C27" s="89" t="s">
        <v>23</v>
      </c>
      <c r="D27" s="46" t="s">
        <v>23</v>
      </c>
      <c r="E27" s="46" t="s">
        <v>23</v>
      </c>
      <c r="F27" s="46" t="s">
        <v>23</v>
      </c>
      <c r="G27" s="46" t="s">
        <v>23</v>
      </c>
      <c r="H27" s="45" t="s">
        <v>23</v>
      </c>
      <c r="I27" s="46" t="s">
        <v>23</v>
      </c>
      <c r="J27" s="46" t="s">
        <v>23</v>
      </c>
      <c r="K27" s="46" t="s">
        <v>23</v>
      </c>
      <c r="L27" s="46" t="s">
        <v>23</v>
      </c>
      <c r="M27" s="45" t="s">
        <v>23</v>
      </c>
      <c r="N27" s="46" t="s">
        <v>23</v>
      </c>
      <c r="O27" s="46" t="s">
        <v>23</v>
      </c>
      <c r="P27" s="46" t="s">
        <v>23</v>
      </c>
      <c r="Q27" s="90" t="s">
        <v>23</v>
      </c>
      <c r="R27" s="3"/>
      <c r="S27" s="3"/>
      <c r="T27" s="3"/>
      <c r="U27" s="3"/>
      <c r="V27" s="50"/>
      <c r="W27" s="50"/>
      <c r="X27" s="50"/>
    </row>
    <row r="28" spans="1:24" x14ac:dyDescent="0.25">
      <c r="A28" s="87" t="s">
        <v>72</v>
      </c>
      <c r="B28" s="88" t="s">
        <v>73</v>
      </c>
      <c r="C28" s="89" t="s">
        <v>23</v>
      </c>
      <c r="D28" s="46" t="s">
        <v>23</v>
      </c>
      <c r="E28" s="46" t="s">
        <v>23</v>
      </c>
      <c r="F28" s="46" t="s">
        <v>23</v>
      </c>
      <c r="G28" s="46" t="s">
        <v>23</v>
      </c>
      <c r="H28" s="45" t="s">
        <v>23</v>
      </c>
      <c r="I28" s="46" t="s">
        <v>23</v>
      </c>
      <c r="J28" s="46" t="s">
        <v>23</v>
      </c>
      <c r="K28" s="46" t="s">
        <v>23</v>
      </c>
      <c r="L28" s="46" t="s">
        <v>23</v>
      </c>
      <c r="M28" s="45" t="s">
        <v>23</v>
      </c>
      <c r="N28" s="46" t="s">
        <v>23</v>
      </c>
      <c r="O28" s="46" t="s">
        <v>23</v>
      </c>
      <c r="P28" s="46" t="s">
        <v>23</v>
      </c>
      <c r="Q28" s="90" t="s">
        <v>23</v>
      </c>
      <c r="R28" s="3"/>
      <c r="S28" s="3"/>
      <c r="T28" s="3"/>
      <c r="U28" s="3"/>
      <c r="V28" s="50"/>
      <c r="W28" s="50"/>
      <c r="X28" s="50"/>
    </row>
    <row r="29" spans="1:24" x14ac:dyDescent="0.25">
      <c r="A29" s="87" t="s">
        <v>74</v>
      </c>
      <c r="B29" s="88" t="s">
        <v>75</v>
      </c>
      <c r="C29" s="89" t="s">
        <v>23</v>
      </c>
      <c r="D29" s="46" t="s">
        <v>23</v>
      </c>
      <c r="E29" s="46" t="s">
        <v>23</v>
      </c>
      <c r="F29" s="46" t="s">
        <v>23</v>
      </c>
      <c r="G29" s="46" t="s">
        <v>23</v>
      </c>
      <c r="H29" s="45" t="s">
        <v>23</v>
      </c>
      <c r="I29" s="46" t="s">
        <v>23</v>
      </c>
      <c r="J29" s="46" t="s">
        <v>23</v>
      </c>
      <c r="K29" s="46" t="s">
        <v>23</v>
      </c>
      <c r="L29" s="46" t="s">
        <v>23</v>
      </c>
      <c r="M29" s="45" t="s">
        <v>23</v>
      </c>
      <c r="N29" s="46" t="s">
        <v>23</v>
      </c>
      <c r="O29" s="46" t="s">
        <v>23</v>
      </c>
      <c r="P29" s="46" t="s">
        <v>23</v>
      </c>
      <c r="Q29" s="90" t="s">
        <v>23</v>
      </c>
      <c r="R29" s="3"/>
      <c r="S29" s="3"/>
      <c r="T29" s="3"/>
      <c r="U29" s="3"/>
      <c r="V29" s="50"/>
      <c r="W29" s="50"/>
      <c r="X29" s="50"/>
    </row>
    <row r="30" spans="1:24" x14ac:dyDescent="0.25">
      <c r="A30" s="87" t="s">
        <v>76</v>
      </c>
      <c r="B30" s="88" t="s">
        <v>77</v>
      </c>
      <c r="C30" s="89" t="s">
        <v>23</v>
      </c>
      <c r="D30" s="46" t="s">
        <v>23</v>
      </c>
      <c r="E30" s="46" t="s">
        <v>23</v>
      </c>
      <c r="F30" s="46" t="s">
        <v>23</v>
      </c>
      <c r="G30" s="46" t="s">
        <v>23</v>
      </c>
      <c r="H30" s="45" t="s">
        <v>23</v>
      </c>
      <c r="I30" s="46" t="s">
        <v>23</v>
      </c>
      <c r="J30" s="46" t="s">
        <v>23</v>
      </c>
      <c r="K30" s="46" t="s">
        <v>23</v>
      </c>
      <c r="L30" s="46" t="s">
        <v>23</v>
      </c>
      <c r="M30" s="45" t="s">
        <v>23</v>
      </c>
      <c r="N30" s="46" t="s">
        <v>23</v>
      </c>
      <c r="O30" s="46" t="s">
        <v>23</v>
      </c>
      <c r="P30" s="46" t="s">
        <v>23</v>
      </c>
      <c r="Q30" s="90" t="s">
        <v>23</v>
      </c>
      <c r="R30" s="3"/>
      <c r="S30" s="3"/>
      <c r="T30" s="3"/>
      <c r="U30" s="3"/>
      <c r="V30" s="50"/>
      <c r="W30" s="50"/>
      <c r="X30" s="50"/>
    </row>
    <row r="31" spans="1:24" x14ac:dyDescent="0.25">
      <c r="A31" s="87" t="s">
        <v>78</v>
      </c>
      <c r="B31" s="88" t="s">
        <v>79</v>
      </c>
      <c r="C31" s="89" t="s">
        <v>23</v>
      </c>
      <c r="D31" s="46" t="s">
        <v>23</v>
      </c>
      <c r="E31" s="46" t="s">
        <v>23</v>
      </c>
      <c r="F31" s="46" t="s">
        <v>23</v>
      </c>
      <c r="G31" s="46" t="s">
        <v>23</v>
      </c>
      <c r="H31" s="45" t="s">
        <v>23</v>
      </c>
      <c r="I31" s="46" t="s">
        <v>23</v>
      </c>
      <c r="J31" s="46" t="s">
        <v>23</v>
      </c>
      <c r="K31" s="46" t="s">
        <v>23</v>
      </c>
      <c r="L31" s="46" t="s">
        <v>23</v>
      </c>
      <c r="M31" s="45" t="s">
        <v>23</v>
      </c>
      <c r="N31" s="46" t="s">
        <v>23</v>
      </c>
      <c r="O31" s="46" t="s">
        <v>23</v>
      </c>
      <c r="P31" s="46" t="s">
        <v>23</v>
      </c>
      <c r="Q31" s="90" t="s">
        <v>23</v>
      </c>
      <c r="R31" s="3"/>
      <c r="S31" s="3"/>
      <c r="T31" s="3"/>
      <c r="U31" s="3"/>
      <c r="V31" s="50"/>
      <c r="W31" s="50"/>
      <c r="X31" s="50"/>
    </row>
    <row r="32" spans="2:17" x14ac:dyDescent="0.25">
      <c r="B32" s="55" t="s">
        <v>80</v>
      </c>
      <c r="C32" s="57">
        <f>SUM(C14:C31)</f>
        <v>0</v>
      </c>
      <c r="D32" s="58"/>
      <c r="E32" s="58"/>
      <c r="F32" s="58"/>
      <c r="G32" s="58"/>
      <c r="H32" s="57">
        <f>SUM(H14:H31)</f>
        <v>0</v>
      </c>
      <c r="I32" s="58"/>
      <c r="J32" s="58"/>
      <c r="K32" s="58"/>
      <c r="L32" s="58"/>
      <c r="M32" s="57">
        <f>SUM(M14:M31)</f>
        <v>0</v>
      </c>
      <c r="N32" s="58"/>
      <c r="O32" s="58"/>
      <c r="P32" s="91"/>
      <c r="Q32" s="91"/>
    </row>
    <row r="35" spans="1:2" x14ac:dyDescent="0.25">
      <c r="A35" s="59" t="s">
        <v>81</v>
      </c>
      <c r="B35" s="60">
        <v>2023</v>
      </c>
    </row>
    <row r="1048566" spans="16382:16382" x14ac:dyDescent="0.25">
      <c r="XFB1048566" s="61" t="str">
        <f>"Primer Trimestre"&amp;" "&amp;$B$35</f>
        <v>Primer Trimestre 2023</v>
      </c>
    </row>
    <row r="1048567" spans="16382:16382" x14ac:dyDescent="0.25">
      <c r="XFB1048567" s="61" t="str">
        <f>"Segundo Trimestre"&amp;" "&amp;$B$35</f>
        <v>Segundo Trimestre 2023</v>
      </c>
    </row>
    <row r="1048568" spans="16382:16382" x14ac:dyDescent="0.25">
      <c r="XFB1048568" s="61" t="str">
        <f>"Tercer Trimestre"&amp;" "&amp;$B$35</f>
        <v>Tercer Trimestre 2023</v>
      </c>
    </row>
    <row r="1048569" spans="16382:16382" x14ac:dyDescent="0.25">
      <c r="XFB1048569" s="61" t="str">
        <f>"Cuarto Trimestre"&amp;" "&amp;$B$35</f>
        <v>Cuarto Trimestre 2023</v>
      </c>
    </row>
  </sheetData>
  <mergeCells count="19">
    <mergeCell ref="A7:Q7"/>
    <mergeCell ref="A8:Q8"/>
    <mergeCell ref="C10:G10"/>
    <mergeCell ref="H10:L10"/>
    <mergeCell ref="M10:Q10"/>
    <mergeCell ref="A10:A13"/>
    <mergeCell ref="B10:B13"/>
    <mergeCell ref="D11:G11"/>
    <mergeCell ref="I11:L11"/>
    <mergeCell ref="N11:Q11"/>
    <mergeCell ref="C11:C12"/>
    <mergeCell ref="H11:H12"/>
    <mergeCell ref="M11:M12"/>
    <mergeCell ref="D13:E13"/>
    <mergeCell ref="F13:G13"/>
    <mergeCell ref="I13:J13"/>
    <mergeCell ref="K13:L13"/>
    <mergeCell ref="N13:O13"/>
    <mergeCell ref="P13:Q13"/>
  </mergeCells>
  <dataValidations count="1">
    <dataValidation type="list" allowBlank="1" showInputMessage="1" showErrorMessage="1" sqref="Q6">
      <formula1>$XFB$1048566:$XFD$1048569</formula1>
    </dataValidation>
  </dataValidations>
  <printOptions horizontalCentered="1"/>
  <pageMargins left="0.7086614173228347" right="0.7086614173228347" top="0.6299212598425197" bottom="0.5511811023622047" header="0.31496062992125984" footer="0.31496062992125984"/>
  <pageSetup orientation="landscape" horizontalDpi="4294967295" verticalDpi="4294967295" scale="82" fitToWidth="1" fitToHeight="1" firstPageNumber="1" useFirstPageNumber="1" copies="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XFB1048573"/>
  <sheetViews>
    <sheetView workbookViewId="0" showGridLines="0" zoomScale="80" zoomScaleNormal="80">
      <pane ySplit="14" topLeftCell="A15" activePane="bottomLeft" state="frozen"/>
      <selection pane="bottomLeft" activeCell="A15" sqref="A15"/>
    </sheetView>
  </sheetViews>
  <sheetFormatPr defaultRowHeight="13.2" outlineLevelRow="0" outlineLevelCol="0" x14ac:dyDescent="0.25" defaultColWidth="12" customHeight="1"/>
  <cols>
    <col min="1" max="1" width="10.28515625" style="1" customWidth="1"/>
    <col min="2" max="2" width="60.85546875" style="2" customWidth="1"/>
    <col min="3" max="3" width="11.42578125" style="3" customWidth="1"/>
    <col min="4" max="4" width="9" style="3" customWidth="1"/>
    <col min="5" max="5" width="6.42578125" style="3" customWidth="1"/>
    <col min="6" max="6" width="11.42578125" style="3" customWidth="1"/>
    <col min="7" max="7" width="9" style="3" customWidth="1"/>
    <col min="8" max="8" width="6.42578125" style="3" customWidth="1"/>
    <col min="9" max="9" width="12.7109375" style="3" customWidth="1"/>
    <col min="10" max="11" width="8.7109375" style="3" customWidth="1"/>
    <col min="12" max="12" width="7.140625" style="3" customWidth="1"/>
    <col min="13" max="13" width="6.42578125" style="3" customWidth="1"/>
    <col min="14" max="14" width="12.7109375" style="3" customWidth="1"/>
    <col min="15" max="16" width="8.7109375" style="3" customWidth="1"/>
    <col min="17" max="16384" width="12" style="2" customWidth="1"/>
  </cols>
  <sheetData>
    <row r="6" ht="28.5" customHeight="1" spans="1:16" x14ac:dyDescent="0.25">
      <c r="A6" s="5" t="s">
        <v>0</v>
      </c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8" t="s">
        <v>104</v>
      </c>
    </row>
    <row r="7" spans="1:16" s="92" customFormat="1" x14ac:dyDescent="0.25">
      <c r="A7" s="93" t="s">
        <v>2</v>
      </c>
      <c r="B7" s="93"/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</row>
    <row r="8" spans="1:16" s="92" customFormat="1" x14ac:dyDescent="0.25">
      <c r="A8" s="93" t="s">
        <v>3</v>
      </c>
      <c r="B8" s="93"/>
      <c r="C8" s="93"/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3"/>
    </row>
    <row r="9" ht="13.8" customHeight="1" spans="6:14" s="92" customFormat="1" x14ac:dyDescent="0.25">
      <c r="F9" s="94"/>
      <c r="G9" s="95"/>
      <c r="K9" s="95"/>
      <c r="N9" s="95"/>
    </row>
    <row r="10" ht="13.5" customHeight="1" spans="1:16" s="11" customFormat="1" x14ac:dyDescent="0.25">
      <c r="A10" s="12" t="s">
        <v>4</v>
      </c>
      <c r="B10" s="12" t="s">
        <v>5</v>
      </c>
      <c r="C10" s="66" t="s">
        <v>129</v>
      </c>
      <c r="D10" s="67"/>
      <c r="E10" s="20"/>
      <c r="F10" s="66" t="s">
        <v>130</v>
      </c>
      <c r="G10" s="67"/>
      <c r="H10" s="20"/>
      <c r="I10" s="66" t="s">
        <v>131</v>
      </c>
      <c r="J10" s="67"/>
      <c r="K10" s="20"/>
      <c r="L10" s="96" t="s">
        <v>132</v>
      </c>
      <c r="M10" s="97"/>
      <c r="N10" s="66" t="s">
        <v>133</v>
      </c>
      <c r="O10" s="67"/>
      <c r="P10" s="20"/>
    </row>
    <row r="11" ht="13.8" customHeight="1" spans="1:16" s="11" customFormat="1" x14ac:dyDescent="0.25">
      <c r="A11" s="19"/>
      <c r="B11" s="19"/>
      <c r="C11" s="25" t="s">
        <v>12</v>
      </c>
      <c r="D11" s="23" t="s">
        <v>15</v>
      </c>
      <c r="E11" s="24"/>
      <c r="F11" s="25" t="s">
        <v>12</v>
      </c>
      <c r="G11" s="23" t="s">
        <v>15</v>
      </c>
      <c r="H11" s="24"/>
      <c r="I11" s="25" t="s">
        <v>12</v>
      </c>
      <c r="J11" s="23" t="s">
        <v>15</v>
      </c>
      <c r="K11" s="24"/>
      <c r="L11" s="98"/>
      <c r="M11" s="99"/>
      <c r="N11" s="25" t="s">
        <v>12</v>
      </c>
      <c r="O11" s="23" t="s">
        <v>15</v>
      </c>
      <c r="P11" s="24"/>
    </row>
    <row r="12" ht="13.8" customHeight="1" spans="1:16" s="11" customFormat="1" x14ac:dyDescent="0.25">
      <c r="A12" s="19"/>
      <c r="B12" s="19"/>
      <c r="C12" s="30"/>
      <c r="D12" s="26">
        <f>+B35</f>
        <v>2023</v>
      </c>
      <c r="E12" s="26">
        <f>+D12-1</f>
        <v>2022</v>
      </c>
      <c r="F12" s="30"/>
      <c r="G12" s="26">
        <f>+$B35</f>
        <v>2023</v>
      </c>
      <c r="H12" s="26">
        <f>+G12-1</f>
        <v>2022</v>
      </c>
      <c r="I12" s="30"/>
      <c r="J12" s="26">
        <f>+$B35</f>
        <v>2023</v>
      </c>
      <c r="K12" s="26">
        <f>+J12-1</f>
        <v>2022</v>
      </c>
      <c r="L12" s="23" t="s">
        <v>12</v>
      </c>
      <c r="M12" s="24"/>
      <c r="N12" s="84"/>
      <c r="O12" s="26">
        <f>+$B35</f>
        <v>2023</v>
      </c>
      <c r="P12" s="26">
        <f>+O12-1</f>
        <v>2022</v>
      </c>
    </row>
    <row r="13" spans="1:16" s="11" customFormat="1" x14ac:dyDescent="0.25">
      <c r="A13" s="31"/>
      <c r="B13" s="31"/>
      <c r="C13" s="36" t="s">
        <v>76</v>
      </c>
      <c r="D13" s="37" t="s">
        <v>134</v>
      </c>
      <c r="E13" s="37"/>
      <c r="F13" s="36" t="s">
        <v>78</v>
      </c>
      <c r="G13" s="37" t="s">
        <v>135</v>
      </c>
      <c r="H13" s="37"/>
      <c r="I13" s="36" t="s">
        <v>136</v>
      </c>
      <c r="J13" s="73" t="s">
        <v>137</v>
      </c>
      <c r="K13" s="74"/>
      <c r="L13" s="100">
        <v>2020</v>
      </c>
      <c r="M13" s="101">
        <v>2019</v>
      </c>
      <c r="N13" s="36" t="s">
        <v>138</v>
      </c>
      <c r="O13" s="73" t="s">
        <v>139</v>
      </c>
      <c r="P13" s="74"/>
    </row>
    <row r="14" ht="2.25" customHeight="1" spans="1:16" s="11" customFormat="1" x14ac:dyDescent="0.25">
      <c r="A14" s="102"/>
      <c r="B14" s="39"/>
      <c r="C14" s="75"/>
      <c r="D14" s="40"/>
      <c r="E14" s="40"/>
      <c r="F14" s="75"/>
      <c r="G14" s="40"/>
      <c r="H14" s="40"/>
      <c r="I14" s="75"/>
      <c r="J14" s="40"/>
      <c r="K14" s="40"/>
      <c r="L14" s="75"/>
      <c r="M14" s="75"/>
      <c r="N14" s="75"/>
      <c r="O14" s="40"/>
      <c r="P14" s="103"/>
    </row>
    <row r="15" spans="1:18" x14ac:dyDescent="0.25">
      <c r="A15" s="104" t="s">
        <v>21</v>
      </c>
      <c r="B15" s="44" t="s">
        <v>22</v>
      </c>
      <c r="C15" s="45" t="s">
        <v>23</v>
      </c>
      <c r="D15" s="46" t="s">
        <v>23</v>
      </c>
      <c r="E15" s="46" t="s">
        <v>23</v>
      </c>
      <c r="F15" s="45" t="s">
        <v>23</v>
      </c>
      <c r="G15" s="46" t="s">
        <v>23</v>
      </c>
      <c r="H15" s="46" t="s">
        <v>23</v>
      </c>
      <c r="I15" s="45" t="s">
        <v>23</v>
      </c>
      <c r="J15" s="46" t="s">
        <v>23</v>
      </c>
      <c r="K15" s="46" t="s">
        <v>23</v>
      </c>
      <c r="L15" s="45" t="s">
        <v>23</v>
      </c>
      <c r="M15" s="45" t="s">
        <v>23</v>
      </c>
      <c r="N15" s="45" t="s">
        <v>23</v>
      </c>
      <c r="O15" s="46" t="s">
        <v>23</v>
      </c>
      <c r="P15" s="105" t="s">
        <v>23</v>
      </c>
      <c r="Q15" s="2" t="s">
        <v>29</v>
      </c>
      <c r="R15" s="2" t="s">
        <v>29</v>
      </c>
    </row>
    <row r="16" spans="1:18" x14ac:dyDescent="0.25">
      <c r="A16" s="104" t="s">
        <v>33</v>
      </c>
      <c r="B16" s="44" t="s">
        <v>34</v>
      </c>
      <c r="C16" s="45" t="s">
        <v>23</v>
      </c>
      <c r="D16" s="46" t="s">
        <v>23</v>
      </c>
      <c r="E16" s="46" t="s">
        <v>140</v>
      </c>
      <c r="F16" s="45" t="s">
        <v>141</v>
      </c>
      <c r="G16" s="46" t="s">
        <v>140</v>
      </c>
      <c r="H16" s="46" t="s">
        <v>140</v>
      </c>
      <c r="I16" s="45" t="s">
        <v>142</v>
      </c>
      <c r="J16" s="46" t="s">
        <v>30</v>
      </c>
      <c r="K16" s="46" t="s">
        <v>140</v>
      </c>
      <c r="L16" s="45" t="s">
        <v>23</v>
      </c>
      <c r="M16" s="45" t="s">
        <v>23</v>
      </c>
      <c r="N16" s="45" t="s">
        <v>23</v>
      </c>
      <c r="O16" s="46" t="s">
        <v>23</v>
      </c>
      <c r="P16" s="105" t="s">
        <v>30</v>
      </c>
      <c r="Q16" s="2" t="s">
        <v>143</v>
      </c>
      <c r="R16" s="2" t="s">
        <v>144</v>
      </c>
    </row>
    <row r="17" spans="1:18" x14ac:dyDescent="0.25">
      <c r="A17" s="104" t="s">
        <v>50</v>
      </c>
      <c r="B17" s="44" t="s">
        <v>51</v>
      </c>
      <c r="C17" s="45" t="s">
        <v>23</v>
      </c>
      <c r="D17" s="46" t="s">
        <v>23</v>
      </c>
      <c r="E17" s="46" t="s">
        <v>23</v>
      </c>
      <c r="F17" s="45" t="s">
        <v>23</v>
      </c>
      <c r="G17" s="46" t="s">
        <v>23</v>
      </c>
      <c r="H17" s="46" t="s">
        <v>23</v>
      </c>
      <c r="I17" s="45" t="s">
        <v>23</v>
      </c>
      <c r="J17" s="46" t="s">
        <v>23</v>
      </c>
      <c r="K17" s="46" t="s">
        <v>23</v>
      </c>
      <c r="L17" s="45" t="s">
        <v>23</v>
      </c>
      <c r="M17" s="45" t="s">
        <v>23</v>
      </c>
      <c r="N17" s="45" t="s">
        <v>23</v>
      </c>
      <c r="O17" s="46" t="s">
        <v>23</v>
      </c>
      <c r="P17" s="105" t="s">
        <v>23</v>
      </c>
      <c r="Q17" s="2" t="s">
        <v>29</v>
      </c>
      <c r="R17" s="2" t="s">
        <v>29</v>
      </c>
    </row>
    <row r="18" spans="1:18" x14ac:dyDescent="0.25">
      <c r="A18" s="104" t="s">
        <v>52</v>
      </c>
      <c r="B18" s="44" t="s">
        <v>53</v>
      </c>
      <c r="C18" s="45" t="s">
        <v>23</v>
      </c>
      <c r="D18" s="46" t="s">
        <v>23</v>
      </c>
      <c r="E18" s="46" t="s">
        <v>23</v>
      </c>
      <c r="F18" s="45" t="s">
        <v>23</v>
      </c>
      <c r="G18" s="46" t="s">
        <v>23</v>
      </c>
      <c r="H18" s="46" t="s">
        <v>23</v>
      </c>
      <c r="I18" s="45" t="s">
        <v>23</v>
      </c>
      <c r="J18" s="46" t="s">
        <v>23</v>
      </c>
      <c r="K18" s="46" t="s">
        <v>23</v>
      </c>
      <c r="L18" s="45" t="s">
        <v>23</v>
      </c>
      <c r="M18" s="45" t="s">
        <v>23</v>
      </c>
      <c r="N18" s="45" t="s">
        <v>23</v>
      </c>
      <c r="O18" s="46" t="s">
        <v>23</v>
      </c>
      <c r="P18" s="105" t="s">
        <v>23</v>
      </c>
      <c r="Q18" s="2" t="s">
        <v>29</v>
      </c>
      <c r="R18" s="2" t="s">
        <v>29</v>
      </c>
    </row>
    <row r="19" spans="1:18" x14ac:dyDescent="0.25">
      <c r="A19" s="106" t="s">
        <v>54</v>
      </c>
      <c r="B19" s="88" t="s">
        <v>55</v>
      </c>
      <c r="C19" s="89" t="s">
        <v>23</v>
      </c>
      <c r="D19" s="46" t="s">
        <v>23</v>
      </c>
      <c r="E19" s="90" t="s">
        <v>23</v>
      </c>
      <c r="F19" s="89" t="s">
        <v>23</v>
      </c>
      <c r="G19" s="46" t="s">
        <v>23</v>
      </c>
      <c r="H19" s="90" t="s">
        <v>23</v>
      </c>
      <c r="I19" s="89" t="s">
        <v>23</v>
      </c>
      <c r="J19" s="46" t="s">
        <v>23</v>
      </c>
      <c r="K19" s="90" t="s">
        <v>23</v>
      </c>
      <c r="L19" s="89" t="s">
        <v>23</v>
      </c>
      <c r="M19" s="89" t="s">
        <v>23</v>
      </c>
      <c r="N19" s="89" t="s">
        <v>23</v>
      </c>
      <c r="O19" s="46" t="s">
        <v>23</v>
      </c>
      <c r="P19" s="107" t="s">
        <v>23</v>
      </c>
      <c r="Q19" s="2" t="s">
        <v>29</v>
      </c>
      <c r="R19" s="2" t="s">
        <v>29</v>
      </c>
    </row>
    <row r="20" spans="1:18" x14ac:dyDescent="0.25">
      <c r="A20" s="106" t="s">
        <v>56</v>
      </c>
      <c r="B20" s="88" t="s">
        <v>57</v>
      </c>
      <c r="C20" s="89" t="s">
        <v>23</v>
      </c>
      <c r="D20" s="46" t="s">
        <v>23</v>
      </c>
      <c r="E20" s="90" t="s">
        <v>23</v>
      </c>
      <c r="F20" s="89" t="s">
        <v>23</v>
      </c>
      <c r="G20" s="46" t="s">
        <v>23</v>
      </c>
      <c r="H20" s="90" t="s">
        <v>23</v>
      </c>
      <c r="I20" s="89" t="s">
        <v>23</v>
      </c>
      <c r="J20" s="46" t="s">
        <v>23</v>
      </c>
      <c r="K20" s="90" t="s">
        <v>23</v>
      </c>
      <c r="L20" s="89" t="s">
        <v>23</v>
      </c>
      <c r="M20" s="89" t="s">
        <v>23</v>
      </c>
      <c r="N20" s="89" t="s">
        <v>23</v>
      </c>
      <c r="O20" s="46" t="s">
        <v>23</v>
      </c>
      <c r="P20" s="107" t="s">
        <v>23</v>
      </c>
      <c r="Q20" s="2" t="s">
        <v>29</v>
      </c>
      <c r="R20" s="2" t="s">
        <v>29</v>
      </c>
    </row>
    <row r="21" spans="1:18" x14ac:dyDescent="0.25">
      <c r="A21" s="106" t="s">
        <v>58</v>
      </c>
      <c r="B21" s="88" t="s">
        <v>59</v>
      </c>
      <c r="C21" s="45" t="s">
        <v>23</v>
      </c>
      <c r="D21" s="46" t="s">
        <v>23</v>
      </c>
      <c r="E21" s="46" t="s">
        <v>23</v>
      </c>
      <c r="F21" s="45" t="s">
        <v>23</v>
      </c>
      <c r="G21" s="46" t="s">
        <v>23</v>
      </c>
      <c r="H21" s="46" t="s">
        <v>23</v>
      </c>
      <c r="I21" s="45" t="s">
        <v>23</v>
      </c>
      <c r="J21" s="46" t="s">
        <v>23</v>
      </c>
      <c r="K21" s="46" t="s">
        <v>23</v>
      </c>
      <c r="L21" s="45" t="s">
        <v>23</v>
      </c>
      <c r="M21" s="45" t="s">
        <v>23</v>
      </c>
      <c r="N21" s="45" t="s">
        <v>23</v>
      </c>
      <c r="O21" s="46" t="s">
        <v>23</v>
      </c>
      <c r="P21" s="105" t="s">
        <v>23</v>
      </c>
      <c r="Q21" s="2" t="s">
        <v>29</v>
      </c>
      <c r="R21" s="2" t="s">
        <v>29</v>
      </c>
    </row>
    <row r="22" spans="1:18" x14ac:dyDescent="0.25">
      <c r="A22" s="106" t="s">
        <v>60</v>
      </c>
      <c r="B22" s="88" t="s">
        <v>61</v>
      </c>
      <c r="C22" s="45" t="s">
        <v>23</v>
      </c>
      <c r="D22" s="46" t="s">
        <v>23</v>
      </c>
      <c r="E22" s="46" t="s">
        <v>23</v>
      </c>
      <c r="F22" s="45" t="s">
        <v>23</v>
      </c>
      <c r="G22" s="46" t="s">
        <v>23</v>
      </c>
      <c r="H22" s="46" t="s">
        <v>23</v>
      </c>
      <c r="I22" s="45" t="s">
        <v>23</v>
      </c>
      <c r="J22" s="46" t="s">
        <v>23</v>
      </c>
      <c r="K22" s="46" t="s">
        <v>23</v>
      </c>
      <c r="L22" s="45" t="s">
        <v>23</v>
      </c>
      <c r="M22" s="45" t="s">
        <v>23</v>
      </c>
      <c r="N22" s="45" t="s">
        <v>23</v>
      </c>
      <c r="O22" s="46" t="s">
        <v>23</v>
      </c>
      <c r="P22" s="105" t="s">
        <v>23</v>
      </c>
      <c r="Q22" s="2" t="s">
        <v>29</v>
      </c>
      <c r="R22" s="2" t="s">
        <v>29</v>
      </c>
    </row>
    <row r="23" spans="1:18" x14ac:dyDescent="0.25">
      <c r="A23" s="106" t="s">
        <v>62</v>
      </c>
      <c r="B23" s="88" t="s">
        <v>63</v>
      </c>
      <c r="C23" s="45" t="s">
        <v>23</v>
      </c>
      <c r="D23" s="46" t="s">
        <v>23</v>
      </c>
      <c r="E23" s="46" t="s">
        <v>23</v>
      </c>
      <c r="F23" s="45" t="s">
        <v>23</v>
      </c>
      <c r="G23" s="46" t="s">
        <v>23</v>
      </c>
      <c r="H23" s="46" t="s">
        <v>23</v>
      </c>
      <c r="I23" s="45" t="s">
        <v>23</v>
      </c>
      <c r="J23" s="46" t="s">
        <v>23</v>
      </c>
      <c r="K23" s="46" t="s">
        <v>23</v>
      </c>
      <c r="L23" s="45" t="s">
        <v>23</v>
      </c>
      <c r="M23" s="45" t="s">
        <v>23</v>
      </c>
      <c r="N23" s="45" t="s">
        <v>23</v>
      </c>
      <c r="O23" s="46" t="s">
        <v>23</v>
      </c>
      <c r="P23" s="105" t="s">
        <v>23</v>
      </c>
      <c r="Q23" s="2" t="s">
        <v>29</v>
      </c>
      <c r="R23" s="2" t="s">
        <v>29</v>
      </c>
    </row>
    <row r="24" spans="1:18" x14ac:dyDescent="0.25">
      <c r="A24" s="106" t="s">
        <v>64</v>
      </c>
      <c r="B24" s="88" t="s">
        <v>65</v>
      </c>
      <c r="C24" s="45" t="s">
        <v>23</v>
      </c>
      <c r="D24" s="46" t="s">
        <v>23</v>
      </c>
      <c r="E24" s="46" t="s">
        <v>23</v>
      </c>
      <c r="F24" s="45" t="s">
        <v>23</v>
      </c>
      <c r="G24" s="46" t="s">
        <v>23</v>
      </c>
      <c r="H24" s="46" t="s">
        <v>23</v>
      </c>
      <c r="I24" s="45" t="s">
        <v>23</v>
      </c>
      <c r="J24" s="46" t="s">
        <v>23</v>
      </c>
      <c r="K24" s="46" t="s">
        <v>23</v>
      </c>
      <c r="L24" s="45" t="s">
        <v>23</v>
      </c>
      <c r="M24" s="45" t="s">
        <v>23</v>
      </c>
      <c r="N24" s="45" t="s">
        <v>23</v>
      </c>
      <c r="O24" s="46" t="s">
        <v>23</v>
      </c>
      <c r="P24" s="105" t="s">
        <v>23</v>
      </c>
      <c r="Q24" s="2" t="s">
        <v>29</v>
      </c>
      <c r="R24" s="2" t="s">
        <v>29</v>
      </c>
    </row>
    <row r="25" spans="1:18" x14ac:dyDescent="0.25">
      <c r="A25" s="106" t="s">
        <v>66</v>
      </c>
      <c r="B25" s="88" t="s">
        <v>67</v>
      </c>
      <c r="C25" s="45" t="s">
        <v>23</v>
      </c>
      <c r="D25" s="46" t="s">
        <v>23</v>
      </c>
      <c r="E25" s="46" t="s">
        <v>23</v>
      </c>
      <c r="F25" s="45" t="s">
        <v>23</v>
      </c>
      <c r="G25" s="46" t="s">
        <v>23</v>
      </c>
      <c r="H25" s="46" t="s">
        <v>23</v>
      </c>
      <c r="I25" s="45" t="s">
        <v>23</v>
      </c>
      <c r="J25" s="46" t="s">
        <v>23</v>
      </c>
      <c r="K25" s="46" t="s">
        <v>23</v>
      </c>
      <c r="L25" s="45" t="s">
        <v>23</v>
      </c>
      <c r="M25" s="45" t="s">
        <v>23</v>
      </c>
      <c r="N25" s="45" t="s">
        <v>23</v>
      </c>
      <c r="O25" s="46" t="s">
        <v>23</v>
      </c>
      <c r="P25" s="105" t="s">
        <v>23</v>
      </c>
      <c r="Q25" s="2" t="s">
        <v>29</v>
      </c>
      <c r="R25" s="2" t="s">
        <v>29</v>
      </c>
    </row>
    <row r="26" spans="1:18" x14ac:dyDescent="0.25">
      <c r="A26" s="106" t="s">
        <v>68</v>
      </c>
      <c r="B26" s="88" t="s">
        <v>69</v>
      </c>
      <c r="C26" s="45" t="s">
        <v>23</v>
      </c>
      <c r="D26" s="46" t="s">
        <v>23</v>
      </c>
      <c r="E26" s="46" t="s">
        <v>23</v>
      </c>
      <c r="F26" s="45" t="s">
        <v>23</v>
      </c>
      <c r="G26" s="46" t="s">
        <v>23</v>
      </c>
      <c r="H26" s="46" t="s">
        <v>23</v>
      </c>
      <c r="I26" s="45" t="s">
        <v>23</v>
      </c>
      <c r="J26" s="46" t="s">
        <v>23</v>
      </c>
      <c r="K26" s="46" t="s">
        <v>23</v>
      </c>
      <c r="L26" s="45" t="s">
        <v>23</v>
      </c>
      <c r="M26" s="45" t="s">
        <v>23</v>
      </c>
      <c r="N26" s="45" t="s">
        <v>23</v>
      </c>
      <c r="O26" s="46" t="s">
        <v>23</v>
      </c>
      <c r="P26" s="105" t="s">
        <v>23</v>
      </c>
      <c r="Q26" s="2" t="s">
        <v>29</v>
      </c>
      <c r="R26" s="2" t="s">
        <v>29</v>
      </c>
    </row>
    <row r="27" spans="1:18" x14ac:dyDescent="0.25">
      <c r="A27" s="106" t="s">
        <v>70</v>
      </c>
      <c r="B27" s="88" t="s">
        <v>71</v>
      </c>
      <c r="C27" s="45" t="s">
        <v>23</v>
      </c>
      <c r="D27" s="46" t="s">
        <v>23</v>
      </c>
      <c r="E27" s="46" t="s">
        <v>23</v>
      </c>
      <c r="F27" s="45" t="s">
        <v>23</v>
      </c>
      <c r="G27" s="46" t="s">
        <v>23</v>
      </c>
      <c r="H27" s="46" t="s">
        <v>23</v>
      </c>
      <c r="I27" s="45" t="s">
        <v>23</v>
      </c>
      <c r="J27" s="46" t="s">
        <v>23</v>
      </c>
      <c r="K27" s="46" t="s">
        <v>23</v>
      </c>
      <c r="L27" s="45" t="s">
        <v>23</v>
      </c>
      <c r="M27" s="45" t="s">
        <v>23</v>
      </c>
      <c r="N27" s="45" t="s">
        <v>23</v>
      </c>
      <c r="O27" s="46" t="s">
        <v>23</v>
      </c>
      <c r="P27" s="105" t="s">
        <v>23</v>
      </c>
      <c r="Q27" s="2" t="s">
        <v>29</v>
      </c>
      <c r="R27" s="2" t="s">
        <v>29</v>
      </c>
    </row>
    <row r="28" spans="1:18" x14ac:dyDescent="0.25">
      <c r="A28" s="106" t="s">
        <v>72</v>
      </c>
      <c r="B28" s="88" t="s">
        <v>73</v>
      </c>
      <c r="C28" s="45" t="s">
        <v>23</v>
      </c>
      <c r="D28" s="46" t="s">
        <v>23</v>
      </c>
      <c r="E28" s="46" t="s">
        <v>23</v>
      </c>
      <c r="F28" s="45" t="s">
        <v>23</v>
      </c>
      <c r="G28" s="46" t="s">
        <v>23</v>
      </c>
      <c r="H28" s="46" t="s">
        <v>23</v>
      </c>
      <c r="I28" s="45" t="s">
        <v>23</v>
      </c>
      <c r="J28" s="46" t="s">
        <v>23</v>
      </c>
      <c r="K28" s="46" t="s">
        <v>23</v>
      </c>
      <c r="L28" s="45" t="s">
        <v>23</v>
      </c>
      <c r="M28" s="45" t="s">
        <v>23</v>
      </c>
      <c r="N28" s="45" t="s">
        <v>23</v>
      </c>
      <c r="O28" s="46" t="s">
        <v>23</v>
      </c>
      <c r="P28" s="105" t="s">
        <v>23</v>
      </c>
      <c r="Q28" s="2" t="s">
        <v>29</v>
      </c>
      <c r="R28" s="2" t="s">
        <v>29</v>
      </c>
    </row>
    <row r="29" spans="1:18" x14ac:dyDescent="0.25">
      <c r="A29" s="106" t="s">
        <v>74</v>
      </c>
      <c r="B29" s="88" t="s">
        <v>75</v>
      </c>
      <c r="C29" s="45" t="s">
        <v>23</v>
      </c>
      <c r="D29" s="46" t="s">
        <v>23</v>
      </c>
      <c r="E29" s="46" t="s">
        <v>23</v>
      </c>
      <c r="F29" s="45" t="s">
        <v>23</v>
      </c>
      <c r="G29" s="46" t="s">
        <v>23</v>
      </c>
      <c r="H29" s="46" t="s">
        <v>23</v>
      </c>
      <c r="I29" s="45" t="s">
        <v>23</v>
      </c>
      <c r="J29" s="46" t="s">
        <v>23</v>
      </c>
      <c r="K29" s="46" t="s">
        <v>23</v>
      </c>
      <c r="L29" s="45" t="s">
        <v>23</v>
      </c>
      <c r="M29" s="45" t="s">
        <v>23</v>
      </c>
      <c r="N29" s="45" t="s">
        <v>23</v>
      </c>
      <c r="O29" s="46" t="s">
        <v>23</v>
      </c>
      <c r="P29" s="105" t="s">
        <v>23</v>
      </c>
      <c r="Q29" s="2" t="s">
        <v>29</v>
      </c>
      <c r="R29" s="2" t="s">
        <v>29</v>
      </c>
    </row>
    <row r="30" spans="1:18" x14ac:dyDescent="0.25">
      <c r="A30" s="106" t="s">
        <v>76</v>
      </c>
      <c r="B30" s="88" t="s">
        <v>77</v>
      </c>
      <c r="C30" s="89" t="s">
        <v>23</v>
      </c>
      <c r="D30" s="46" t="s">
        <v>23</v>
      </c>
      <c r="E30" s="90" t="s">
        <v>23</v>
      </c>
      <c r="F30" s="89" t="s">
        <v>23</v>
      </c>
      <c r="G30" s="46" t="s">
        <v>23</v>
      </c>
      <c r="H30" s="90" t="s">
        <v>23</v>
      </c>
      <c r="I30" s="89" t="s">
        <v>23</v>
      </c>
      <c r="J30" s="46" t="s">
        <v>23</v>
      </c>
      <c r="K30" s="90" t="s">
        <v>23</v>
      </c>
      <c r="L30" s="89" t="s">
        <v>23</v>
      </c>
      <c r="M30" s="89" t="s">
        <v>23</v>
      </c>
      <c r="N30" s="89" t="s">
        <v>23</v>
      </c>
      <c r="O30" s="46" t="s">
        <v>23</v>
      </c>
      <c r="P30" s="107" t="s">
        <v>23</v>
      </c>
      <c r="Q30" s="2" t="s">
        <v>29</v>
      </c>
      <c r="R30" s="2" t="s">
        <v>29</v>
      </c>
    </row>
    <row r="31" ht="13.8" customHeight="1" spans="1:18" x14ac:dyDescent="0.25">
      <c r="A31" s="108" t="s">
        <v>78</v>
      </c>
      <c r="B31" s="109" t="s">
        <v>79</v>
      </c>
      <c r="C31" s="110" t="s">
        <v>23</v>
      </c>
      <c r="D31" s="111" t="s">
        <v>23</v>
      </c>
      <c r="E31" s="112" t="s">
        <v>23</v>
      </c>
      <c r="F31" s="110" t="s">
        <v>23</v>
      </c>
      <c r="G31" s="111" t="s">
        <v>23</v>
      </c>
      <c r="H31" s="112" t="s">
        <v>23</v>
      </c>
      <c r="I31" s="110" t="s">
        <v>23</v>
      </c>
      <c r="J31" s="111" t="s">
        <v>23</v>
      </c>
      <c r="K31" s="112" t="s">
        <v>23</v>
      </c>
      <c r="L31" s="110" t="s">
        <v>23</v>
      </c>
      <c r="M31" s="110" t="s">
        <v>23</v>
      </c>
      <c r="N31" s="110" t="s">
        <v>23</v>
      </c>
      <c r="O31" s="111" t="s">
        <v>23</v>
      </c>
      <c r="P31" s="113" t="s">
        <v>23</v>
      </c>
      <c r="Q31" s="2" t="s">
        <v>29</v>
      </c>
      <c r="R31" s="2" t="s">
        <v>29</v>
      </c>
    </row>
    <row r="32" spans="2:16" x14ac:dyDescent="0.25">
      <c r="B32" s="55" t="s">
        <v>80</v>
      </c>
      <c r="C32" s="57">
        <f>SUM(C15:C31)</f>
        <v>0</v>
      </c>
      <c r="D32" s="57"/>
      <c r="E32" s="57"/>
      <c r="F32" s="57">
        <f>SUM(F15:F31)</f>
        <v>0</v>
      </c>
      <c r="G32" s="57"/>
      <c r="H32" s="57"/>
      <c r="I32" s="57">
        <f>SUM(I15:I31)</f>
        <v>0</v>
      </c>
      <c r="J32" s="57"/>
      <c r="K32" s="57">
        <f>SUM(K15:K31)</f>
        <v>0</v>
      </c>
      <c r="L32" s="57"/>
      <c r="M32" s="57"/>
      <c r="N32" s="57">
        <f>SUM(N15:N31)</f>
        <v>0</v>
      </c>
      <c r="O32" s="57"/>
      <c r="P32" s="57">
        <f>SUM(P15:P31)</f>
        <v>0</v>
      </c>
    </row>
    <row r="35" spans="1:2" x14ac:dyDescent="0.25">
      <c r="A35" s="59" t="s">
        <v>81</v>
      </c>
      <c r="B35" s="60">
        <v>2023</v>
      </c>
    </row>
    <row r="1048570" spans="16382:16382" x14ac:dyDescent="0.25">
      <c r="XFB1048570" s="61" t="str">
        <f>"Primer Trimestre"&amp;" "&amp;$B$35</f>
        <v>Primer Trimestre 2023</v>
      </c>
    </row>
    <row r="1048571" spans="16382:16382" x14ac:dyDescent="0.25">
      <c r="XFB1048571" s="61" t="str">
        <f>"Segundo Trimestre"&amp;" "&amp;$B$35</f>
        <v>Segundo Trimestre 2023</v>
      </c>
    </row>
    <row r="1048572" spans="16382:16382" x14ac:dyDescent="0.25">
      <c r="XFB1048572" s="61" t="str">
        <f>"Tercer Trimestre"&amp;" "&amp;$B$35</f>
        <v>Tercer Trimestre 2023</v>
      </c>
    </row>
    <row r="1048573" spans="16382:16382" x14ac:dyDescent="0.25">
      <c r="XFB1048573" s="61" t="str">
        <f>"Cuarto Trimestre"&amp;" "&amp;$B$35</f>
        <v>Cuarto Trimestre 2023</v>
      </c>
    </row>
  </sheetData>
  <mergeCells count="20">
    <mergeCell ref="A7:P7"/>
    <mergeCell ref="A8:P8"/>
    <mergeCell ref="C10:E10"/>
    <mergeCell ref="F10:H10"/>
    <mergeCell ref="I10:K10"/>
    <mergeCell ref="L10:M11"/>
    <mergeCell ref="N10:P10"/>
    <mergeCell ref="A10:A13"/>
    <mergeCell ref="B10:B13"/>
    <mergeCell ref="D11:E11"/>
    <mergeCell ref="G11:H11"/>
    <mergeCell ref="J11:K11"/>
    <mergeCell ref="O11:P11"/>
    <mergeCell ref="C11:C12"/>
    <mergeCell ref="F11:F12"/>
    <mergeCell ref="L12:M12"/>
    <mergeCell ref="D13:E13"/>
    <mergeCell ref="G13:H13"/>
    <mergeCell ref="J13:K13"/>
    <mergeCell ref="O13:P13"/>
  </mergeCells>
  <dataValidations count="1">
    <dataValidation type="list" allowBlank="1" showInputMessage="1" showErrorMessage="1" sqref="P6">
      <formula1>$XFB$1048570:$XFD$1048573</formula1>
    </dataValidation>
  </dataValidations>
  <printOptions horizontalCentered="1"/>
  <pageMargins left="0.7086614173228347" right="0.7086614173228347" top="0.6299212598425197" bottom="0.5511811023622047" header="0.31496062992125984" footer="0.31496062992125984"/>
  <pageSetup orientation="landscape" horizontalDpi="4294967295" verticalDpi="4294967295" scale="82" fitToWidth="1" fitToHeight="1" firstPageNumber="1" useFirstPageNumber="1" copies="1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XFD1048573"/>
  <sheetViews>
    <sheetView workbookViewId="0" showGridLines="0" zoomScale="70" zoomScaleNormal="70">
      <pane ySplit="14" topLeftCell="A15" activePane="bottomLeft" state="frozen"/>
      <selection pane="bottomLeft" activeCell="A15" sqref="A15"/>
    </sheetView>
  </sheetViews>
  <sheetFormatPr defaultRowHeight="13.2" outlineLevelRow="0" outlineLevelCol="0" x14ac:dyDescent="0.25" defaultColWidth="12" customHeight="1"/>
  <cols>
    <col min="1" max="1" width="12.28515625" style="1" customWidth="1"/>
    <col min="2" max="2" width="60.85546875" style="2" customWidth="1"/>
    <col min="3" max="3" width="6.42578125" style="3" customWidth="1"/>
    <col min="4" max="4" width="9.140625" style="3" customWidth="1"/>
    <col min="5" max="5" width="8.7109375" style="3" customWidth="1"/>
    <col min="6" max="8" width="7.42578125" style="3" customWidth="1"/>
    <col min="9" max="9" width="14.7109375" style="3" customWidth="1"/>
    <col min="10" max="11" width="8.7109375" style="3" customWidth="1"/>
    <col min="12" max="12" width="10.28515625" style="3" customWidth="1"/>
    <col min="13" max="13" width="12.28515625" style="3" customWidth="1"/>
    <col min="14" max="16384" width="12" style="2" customWidth="1"/>
  </cols>
  <sheetData>
    <row r="6" ht="28.5" customHeight="1" spans="1:13" s="4" customFormat="1" x14ac:dyDescent="0.25">
      <c r="A6" s="5" t="s">
        <v>0</v>
      </c>
      <c r="B6" s="114"/>
      <c r="C6" s="114"/>
      <c r="D6" s="114"/>
      <c r="E6" s="114"/>
      <c r="F6" s="114"/>
      <c r="G6" s="114"/>
      <c r="H6" s="114"/>
      <c r="I6" s="114"/>
      <c r="J6" s="114"/>
      <c r="K6" s="114"/>
      <c r="L6" s="114"/>
      <c r="M6" s="8" t="s">
        <v>104</v>
      </c>
    </row>
    <row r="7" spans="1:13" s="92" customFormat="1" x14ac:dyDescent="0.25">
      <c r="A7" s="115" t="s">
        <v>2</v>
      </c>
      <c r="B7" s="115"/>
      <c r="C7" s="115"/>
      <c r="D7" s="115"/>
      <c r="E7" s="115"/>
      <c r="F7" s="115"/>
      <c r="G7" s="115"/>
      <c r="H7" s="115"/>
      <c r="I7" s="115"/>
      <c r="J7" s="115"/>
      <c r="K7" s="115"/>
      <c r="L7" s="115"/>
      <c r="M7" s="115"/>
    </row>
    <row r="8" spans="1:13" s="92" customFormat="1" x14ac:dyDescent="0.25">
      <c r="A8" s="93" t="s">
        <v>145</v>
      </c>
      <c r="B8" s="93"/>
      <c r="C8" s="93"/>
      <c r="D8" s="93"/>
      <c r="E8" s="93"/>
      <c r="F8" s="93"/>
      <c r="G8" s="93"/>
      <c r="H8" s="93"/>
      <c r="I8" s="93"/>
      <c r="J8" s="93"/>
      <c r="K8" s="93"/>
      <c r="L8" s="93"/>
      <c r="M8" s="93"/>
    </row>
    <row r="9" ht="13.8" customHeight="1" spans="1:13" s="92" customFormat="1" x14ac:dyDescent="0.25">
      <c r="A9" s="116"/>
      <c r="B9" s="116"/>
      <c r="C9" s="116"/>
      <c r="D9" s="116"/>
      <c r="E9" s="116"/>
      <c r="F9" s="116"/>
      <c r="G9" s="116"/>
      <c r="H9" s="116"/>
      <c r="I9" s="116"/>
      <c r="J9" s="116"/>
      <c r="K9" s="116"/>
      <c r="L9" s="116"/>
      <c r="M9" s="116"/>
    </row>
    <row r="10" ht="13.5" customHeight="1" spans="1:13" s="11" customFormat="1" x14ac:dyDescent="0.25">
      <c r="A10" s="12" t="s">
        <v>146</v>
      </c>
      <c r="B10" s="12" t="s">
        <v>5</v>
      </c>
      <c r="C10" s="117" t="s">
        <v>147</v>
      </c>
      <c r="D10" s="118"/>
      <c r="E10" s="117" t="s">
        <v>148</v>
      </c>
      <c r="F10" s="118"/>
      <c r="G10" s="117" t="s">
        <v>149</v>
      </c>
      <c r="H10" s="118"/>
      <c r="I10" s="119" t="s">
        <v>150</v>
      </c>
      <c r="J10" s="120"/>
      <c r="K10" s="120"/>
      <c r="L10" s="120"/>
      <c r="M10" s="121"/>
    </row>
    <row r="11" ht="37.5" customHeight="1" spans="1:13" s="11" customFormat="1" x14ac:dyDescent="0.25">
      <c r="A11" s="19"/>
      <c r="B11" s="19"/>
      <c r="C11" s="122"/>
      <c r="D11" s="123"/>
      <c r="E11" s="122"/>
      <c r="F11" s="123"/>
      <c r="G11" s="122"/>
      <c r="H11" s="123"/>
      <c r="I11" s="69" t="s">
        <v>151</v>
      </c>
      <c r="J11" s="23" t="s">
        <v>15</v>
      </c>
      <c r="K11" s="83"/>
      <c r="L11" s="83"/>
      <c r="M11" s="24"/>
    </row>
    <row r="12" ht="13.8" customHeight="1" spans="1:13" s="11" customFormat="1" x14ac:dyDescent="0.25">
      <c r="A12" s="19"/>
      <c r="B12" s="19"/>
      <c r="C12" s="26">
        <f>+$B34</f>
        <v>2023</v>
      </c>
      <c r="D12" s="26">
        <f>+C12-1</f>
        <v>2022</v>
      </c>
      <c r="E12" s="26">
        <f>+$B34</f>
        <v>2023</v>
      </c>
      <c r="F12" s="26">
        <f>+E12-1</f>
        <v>2022</v>
      </c>
      <c r="G12" s="26">
        <f>+$B34</f>
        <v>2023</v>
      </c>
      <c r="H12" s="26">
        <f>+G12-1</f>
        <v>2022</v>
      </c>
      <c r="I12" s="70"/>
      <c r="J12" s="26">
        <f>+$B34</f>
        <v>2023</v>
      </c>
      <c r="K12" s="26">
        <f>+J12-1</f>
        <v>2022</v>
      </c>
      <c r="L12" s="26">
        <f>+$B34</f>
        <v>2023</v>
      </c>
      <c r="M12" s="26">
        <f>+L12-1</f>
        <v>2022</v>
      </c>
    </row>
    <row r="13" spans="1:13" s="11" customFormat="1" x14ac:dyDescent="0.25">
      <c r="A13" s="31"/>
      <c r="B13" s="31"/>
      <c r="C13" s="124" t="s">
        <v>15</v>
      </c>
      <c r="D13" s="125"/>
      <c r="E13" s="124" t="s">
        <v>15</v>
      </c>
      <c r="F13" s="125"/>
      <c r="G13" s="124" t="s">
        <v>15</v>
      </c>
      <c r="H13" s="125"/>
      <c r="I13" s="126" t="s">
        <v>138</v>
      </c>
      <c r="J13" s="73" t="s">
        <v>152</v>
      </c>
      <c r="K13" s="74"/>
      <c r="L13" s="124" t="s">
        <v>153</v>
      </c>
      <c r="M13" s="125"/>
    </row>
    <row r="14" ht="2.25" customHeight="1" spans="1:13" s="11" customFormat="1" x14ac:dyDescent="0.25">
      <c r="A14" s="39"/>
      <c r="B14" s="39"/>
      <c r="C14" s="40"/>
      <c r="D14" s="40"/>
      <c r="E14" s="40"/>
      <c r="F14" s="40"/>
      <c r="G14" s="40"/>
      <c r="H14" s="40"/>
      <c r="I14" s="75"/>
      <c r="J14" s="40"/>
      <c r="K14" s="40"/>
      <c r="L14" s="127"/>
      <c r="M14" s="127"/>
    </row>
    <row r="15" spans="1:13" x14ac:dyDescent="0.25">
      <c r="A15" s="43" t="s">
        <v>21</v>
      </c>
      <c r="B15" s="44" t="s">
        <v>22</v>
      </c>
      <c r="C15" s="46" t="s">
        <v>29</v>
      </c>
      <c r="D15" s="46" t="s">
        <v>29</v>
      </c>
      <c r="E15" s="46" t="s">
        <v>29</v>
      </c>
      <c r="F15" s="46" t="s">
        <v>29</v>
      </c>
      <c r="G15" s="46" t="s">
        <v>29</v>
      </c>
      <c r="H15" s="46" t="s">
        <v>29</v>
      </c>
      <c r="I15" s="45" t="s">
        <v>29</v>
      </c>
      <c r="J15" s="46" t="s">
        <v>29</v>
      </c>
      <c r="K15" s="46" t="s">
        <v>29</v>
      </c>
      <c r="L15" s="46" t="s">
        <v>29</v>
      </c>
      <c r="M15" s="46" t="s">
        <v>29</v>
      </c>
    </row>
    <row r="16" spans="1:13" x14ac:dyDescent="0.25">
      <c r="A16" s="43" t="s">
        <v>33</v>
      </c>
      <c r="B16" s="44" t="s">
        <v>34</v>
      </c>
      <c r="C16" s="46" t="s">
        <v>29</v>
      </c>
      <c r="D16" s="46" t="s">
        <v>29</v>
      </c>
      <c r="E16" s="46" t="s">
        <v>29</v>
      </c>
      <c r="F16" s="46" t="s">
        <v>29</v>
      </c>
      <c r="G16" s="46" t="s">
        <v>29</v>
      </c>
      <c r="H16" s="46" t="s">
        <v>29</v>
      </c>
      <c r="I16" s="45" t="s">
        <v>154</v>
      </c>
      <c r="J16" s="46" t="s">
        <v>30</v>
      </c>
      <c r="K16" s="46" t="s">
        <v>30</v>
      </c>
      <c r="L16" s="46" t="s">
        <v>29</v>
      </c>
      <c r="M16" s="46" t="s">
        <v>29</v>
      </c>
    </row>
    <row r="17" spans="1:13" x14ac:dyDescent="0.25">
      <c r="A17" s="43" t="s">
        <v>50</v>
      </c>
      <c r="B17" s="44" t="s">
        <v>51</v>
      </c>
      <c r="C17" s="46" t="s">
        <v>29</v>
      </c>
      <c r="D17" s="46" t="s">
        <v>29</v>
      </c>
      <c r="E17" s="46" t="s">
        <v>29</v>
      </c>
      <c r="F17" s="46" t="s">
        <v>29</v>
      </c>
      <c r="G17" s="46" t="s">
        <v>29</v>
      </c>
      <c r="H17" s="46" t="s">
        <v>29</v>
      </c>
      <c r="I17" s="45" t="s">
        <v>29</v>
      </c>
      <c r="J17" s="46" t="s">
        <v>29</v>
      </c>
      <c r="K17" s="46" t="s">
        <v>29</v>
      </c>
      <c r="L17" s="46" t="s">
        <v>29</v>
      </c>
      <c r="M17" s="46" t="s">
        <v>29</v>
      </c>
    </row>
    <row r="18" spans="1:13" x14ac:dyDescent="0.25">
      <c r="A18" s="43" t="s">
        <v>52</v>
      </c>
      <c r="B18" s="44" t="s">
        <v>53</v>
      </c>
      <c r="C18" s="46" t="s">
        <v>29</v>
      </c>
      <c r="D18" s="46" t="s">
        <v>29</v>
      </c>
      <c r="E18" s="46" t="s">
        <v>29</v>
      </c>
      <c r="F18" s="46" t="s">
        <v>29</v>
      </c>
      <c r="G18" s="46" t="s">
        <v>29</v>
      </c>
      <c r="H18" s="46" t="s">
        <v>29</v>
      </c>
      <c r="I18" s="45" t="s">
        <v>29</v>
      </c>
      <c r="J18" s="46" t="s">
        <v>29</v>
      </c>
      <c r="K18" s="46" t="s">
        <v>29</v>
      </c>
      <c r="L18" s="46" t="s">
        <v>29</v>
      </c>
      <c r="M18" s="46" t="s">
        <v>29</v>
      </c>
    </row>
    <row r="19" spans="1:13" x14ac:dyDescent="0.25">
      <c r="A19" s="87" t="s">
        <v>54</v>
      </c>
      <c r="B19" s="88" t="s">
        <v>55</v>
      </c>
      <c r="C19" s="46" t="s">
        <v>29</v>
      </c>
      <c r="D19" s="46" t="s">
        <v>29</v>
      </c>
      <c r="E19" s="46" t="s">
        <v>29</v>
      </c>
      <c r="F19" s="46" t="s">
        <v>29</v>
      </c>
      <c r="G19" s="46" t="s">
        <v>29</v>
      </c>
      <c r="H19" s="46" t="s">
        <v>29</v>
      </c>
      <c r="I19" s="45" t="s">
        <v>29</v>
      </c>
      <c r="J19" s="46" t="s">
        <v>29</v>
      </c>
      <c r="K19" s="46" t="s">
        <v>29</v>
      </c>
      <c r="L19" s="46" t="s">
        <v>29</v>
      </c>
      <c r="M19" s="46" t="s">
        <v>29</v>
      </c>
    </row>
    <row r="20" spans="1:13" x14ac:dyDescent="0.25">
      <c r="A20" s="87" t="s">
        <v>56</v>
      </c>
      <c r="B20" s="88" t="s">
        <v>57</v>
      </c>
      <c r="C20" s="46" t="s">
        <v>29</v>
      </c>
      <c r="D20" s="46" t="s">
        <v>29</v>
      </c>
      <c r="E20" s="46" t="s">
        <v>29</v>
      </c>
      <c r="F20" s="46" t="s">
        <v>29</v>
      </c>
      <c r="G20" s="46" t="s">
        <v>29</v>
      </c>
      <c r="H20" s="46" t="s">
        <v>29</v>
      </c>
      <c r="I20" s="45" t="s">
        <v>29</v>
      </c>
      <c r="J20" s="46" t="s">
        <v>29</v>
      </c>
      <c r="K20" s="46" t="s">
        <v>29</v>
      </c>
      <c r="L20" s="46" t="s">
        <v>29</v>
      </c>
      <c r="M20" s="46" t="s">
        <v>29</v>
      </c>
    </row>
    <row r="21" spans="1:13" x14ac:dyDescent="0.25">
      <c r="A21" s="87" t="s">
        <v>58</v>
      </c>
      <c r="B21" s="88" t="s">
        <v>59</v>
      </c>
      <c r="C21" s="46" t="s">
        <v>29</v>
      </c>
      <c r="D21" s="46" t="s">
        <v>29</v>
      </c>
      <c r="E21" s="46" t="s">
        <v>29</v>
      </c>
      <c r="F21" s="46" t="s">
        <v>29</v>
      </c>
      <c r="G21" s="46" t="s">
        <v>29</v>
      </c>
      <c r="H21" s="46" t="s">
        <v>29</v>
      </c>
      <c r="I21" s="45" t="s">
        <v>29</v>
      </c>
      <c r="J21" s="46" t="s">
        <v>29</v>
      </c>
      <c r="K21" s="46" t="s">
        <v>29</v>
      </c>
      <c r="L21" s="46" t="s">
        <v>29</v>
      </c>
      <c r="M21" s="46" t="s">
        <v>29</v>
      </c>
    </row>
    <row r="22" spans="1:13" x14ac:dyDescent="0.25">
      <c r="A22" s="87" t="s">
        <v>60</v>
      </c>
      <c r="B22" s="88" t="s">
        <v>61</v>
      </c>
      <c r="C22" s="46" t="s">
        <v>29</v>
      </c>
      <c r="D22" s="46" t="s">
        <v>29</v>
      </c>
      <c r="E22" s="46" t="s">
        <v>29</v>
      </c>
      <c r="F22" s="46" t="s">
        <v>29</v>
      </c>
      <c r="G22" s="46" t="s">
        <v>29</v>
      </c>
      <c r="H22" s="46" t="s">
        <v>29</v>
      </c>
      <c r="I22" s="45" t="s">
        <v>29</v>
      </c>
      <c r="J22" s="46" t="s">
        <v>29</v>
      </c>
      <c r="K22" s="46" t="s">
        <v>29</v>
      </c>
      <c r="L22" s="46" t="s">
        <v>29</v>
      </c>
      <c r="M22" s="46" t="s">
        <v>29</v>
      </c>
    </row>
    <row r="23" spans="1:13" x14ac:dyDescent="0.25">
      <c r="A23" s="87" t="s">
        <v>62</v>
      </c>
      <c r="B23" s="88" t="s">
        <v>63</v>
      </c>
      <c r="C23" s="46" t="s">
        <v>29</v>
      </c>
      <c r="D23" s="46" t="s">
        <v>29</v>
      </c>
      <c r="E23" s="46" t="s">
        <v>29</v>
      </c>
      <c r="F23" s="46" t="s">
        <v>29</v>
      </c>
      <c r="G23" s="46" t="s">
        <v>29</v>
      </c>
      <c r="H23" s="46" t="s">
        <v>29</v>
      </c>
      <c r="I23" s="45" t="s">
        <v>29</v>
      </c>
      <c r="J23" s="46" t="s">
        <v>29</v>
      </c>
      <c r="K23" s="46" t="s">
        <v>29</v>
      </c>
      <c r="L23" s="46" t="s">
        <v>29</v>
      </c>
      <c r="M23" s="46" t="s">
        <v>29</v>
      </c>
    </row>
    <row r="24" spans="1:13" x14ac:dyDescent="0.25">
      <c r="A24" s="87" t="s">
        <v>64</v>
      </c>
      <c r="B24" s="88" t="s">
        <v>65</v>
      </c>
      <c r="C24" s="46" t="s">
        <v>29</v>
      </c>
      <c r="D24" s="46" t="s">
        <v>29</v>
      </c>
      <c r="E24" s="46" t="s">
        <v>29</v>
      </c>
      <c r="F24" s="46" t="s">
        <v>29</v>
      </c>
      <c r="G24" s="46" t="s">
        <v>29</v>
      </c>
      <c r="H24" s="46" t="s">
        <v>29</v>
      </c>
      <c r="I24" s="45" t="s">
        <v>29</v>
      </c>
      <c r="J24" s="46" t="s">
        <v>29</v>
      </c>
      <c r="K24" s="46" t="s">
        <v>29</v>
      </c>
      <c r="L24" s="46" t="s">
        <v>29</v>
      </c>
      <c r="M24" s="46" t="s">
        <v>29</v>
      </c>
    </row>
    <row r="25" spans="1:13" x14ac:dyDescent="0.25">
      <c r="A25" s="87" t="s">
        <v>66</v>
      </c>
      <c r="B25" s="88" t="s">
        <v>67</v>
      </c>
      <c r="C25" s="46" t="s">
        <v>29</v>
      </c>
      <c r="D25" s="46" t="s">
        <v>29</v>
      </c>
      <c r="E25" s="46" t="s">
        <v>29</v>
      </c>
      <c r="F25" s="46" t="s">
        <v>29</v>
      </c>
      <c r="G25" s="46" t="s">
        <v>29</v>
      </c>
      <c r="H25" s="46" t="s">
        <v>29</v>
      </c>
      <c r="I25" s="45" t="s">
        <v>29</v>
      </c>
      <c r="J25" s="46" t="s">
        <v>29</v>
      </c>
      <c r="K25" s="46" t="s">
        <v>29</v>
      </c>
      <c r="L25" s="46" t="s">
        <v>29</v>
      </c>
      <c r="M25" s="46" t="s">
        <v>29</v>
      </c>
    </row>
    <row r="26" spans="1:13" x14ac:dyDescent="0.25">
      <c r="A26" s="87" t="s">
        <v>68</v>
      </c>
      <c r="B26" s="88" t="s">
        <v>69</v>
      </c>
      <c r="C26" s="46" t="s">
        <v>29</v>
      </c>
      <c r="D26" s="46" t="s">
        <v>29</v>
      </c>
      <c r="E26" s="46" t="s">
        <v>29</v>
      </c>
      <c r="F26" s="46" t="s">
        <v>29</v>
      </c>
      <c r="G26" s="46" t="s">
        <v>29</v>
      </c>
      <c r="H26" s="46" t="s">
        <v>29</v>
      </c>
      <c r="I26" s="45" t="s">
        <v>29</v>
      </c>
      <c r="J26" s="46" t="s">
        <v>29</v>
      </c>
      <c r="K26" s="46" t="s">
        <v>29</v>
      </c>
      <c r="L26" s="46" t="s">
        <v>29</v>
      </c>
      <c r="M26" s="46" t="s">
        <v>29</v>
      </c>
    </row>
    <row r="27" spans="1:13" x14ac:dyDescent="0.25">
      <c r="A27" s="87" t="s">
        <v>70</v>
      </c>
      <c r="B27" s="88" t="s">
        <v>71</v>
      </c>
      <c r="C27" s="46" t="s">
        <v>29</v>
      </c>
      <c r="D27" s="46" t="s">
        <v>29</v>
      </c>
      <c r="E27" s="46" t="s">
        <v>29</v>
      </c>
      <c r="F27" s="46" t="s">
        <v>29</v>
      </c>
      <c r="G27" s="46" t="s">
        <v>29</v>
      </c>
      <c r="H27" s="46" t="s">
        <v>29</v>
      </c>
      <c r="I27" s="45" t="s">
        <v>29</v>
      </c>
      <c r="J27" s="46" t="s">
        <v>29</v>
      </c>
      <c r="K27" s="46" t="s">
        <v>29</v>
      </c>
      <c r="L27" s="46" t="s">
        <v>29</v>
      </c>
      <c r="M27" s="46" t="s">
        <v>29</v>
      </c>
    </row>
    <row r="28" spans="1:13" x14ac:dyDescent="0.25">
      <c r="A28" s="87" t="s">
        <v>72</v>
      </c>
      <c r="B28" s="88" t="s">
        <v>73</v>
      </c>
      <c r="C28" s="46" t="s">
        <v>29</v>
      </c>
      <c r="D28" s="46" t="s">
        <v>29</v>
      </c>
      <c r="E28" s="46" t="s">
        <v>29</v>
      </c>
      <c r="F28" s="46" t="s">
        <v>29</v>
      </c>
      <c r="G28" s="46" t="s">
        <v>29</v>
      </c>
      <c r="H28" s="46" t="s">
        <v>29</v>
      </c>
      <c r="I28" s="45" t="s">
        <v>29</v>
      </c>
      <c r="J28" s="46" t="s">
        <v>29</v>
      </c>
      <c r="K28" s="46" t="s">
        <v>29</v>
      </c>
      <c r="L28" s="46" t="s">
        <v>29</v>
      </c>
      <c r="M28" s="46" t="s">
        <v>29</v>
      </c>
    </row>
    <row r="29" spans="1:13" x14ac:dyDescent="0.25">
      <c r="A29" s="87" t="s">
        <v>74</v>
      </c>
      <c r="B29" s="88" t="s">
        <v>75</v>
      </c>
      <c r="C29" s="46" t="s">
        <v>29</v>
      </c>
      <c r="D29" s="46" t="s">
        <v>29</v>
      </c>
      <c r="E29" s="46" t="s">
        <v>29</v>
      </c>
      <c r="F29" s="46" t="s">
        <v>29</v>
      </c>
      <c r="G29" s="46" t="s">
        <v>29</v>
      </c>
      <c r="H29" s="46" t="s">
        <v>29</v>
      </c>
      <c r="I29" s="45" t="s">
        <v>29</v>
      </c>
      <c r="J29" s="46" t="s">
        <v>29</v>
      </c>
      <c r="K29" s="46" t="s">
        <v>29</v>
      </c>
      <c r="L29" s="46" t="s">
        <v>29</v>
      </c>
      <c r="M29" s="46" t="s">
        <v>29</v>
      </c>
    </row>
    <row r="30" spans="1:13" x14ac:dyDescent="0.25">
      <c r="A30" s="87" t="s">
        <v>76</v>
      </c>
      <c r="B30" s="88" t="s">
        <v>77</v>
      </c>
      <c r="C30" s="46" t="s">
        <v>29</v>
      </c>
      <c r="D30" s="46" t="s">
        <v>29</v>
      </c>
      <c r="E30" s="46" t="s">
        <v>29</v>
      </c>
      <c r="F30" s="46" t="s">
        <v>29</v>
      </c>
      <c r="G30" s="46" t="s">
        <v>29</v>
      </c>
      <c r="H30" s="46" t="s">
        <v>29</v>
      </c>
      <c r="I30" s="45" t="s">
        <v>29</v>
      </c>
      <c r="J30" s="46" t="s">
        <v>29</v>
      </c>
      <c r="K30" s="46" t="s">
        <v>29</v>
      </c>
      <c r="L30" s="46" t="s">
        <v>29</v>
      </c>
      <c r="M30" s="46" t="s">
        <v>29</v>
      </c>
    </row>
    <row r="31" spans="1:13" x14ac:dyDescent="0.25">
      <c r="A31" s="87" t="s">
        <v>78</v>
      </c>
      <c r="B31" s="88" t="s">
        <v>79</v>
      </c>
      <c r="C31" s="46" t="s">
        <v>29</v>
      </c>
      <c r="D31" s="46" t="s">
        <v>29</v>
      </c>
      <c r="E31" s="46" t="s">
        <v>29</v>
      </c>
      <c r="F31" s="46" t="s">
        <v>29</v>
      </c>
      <c r="G31" s="46" t="s">
        <v>29</v>
      </c>
      <c r="H31" s="46" t="s">
        <v>29</v>
      </c>
      <c r="I31" s="45" t="s">
        <v>29</v>
      </c>
      <c r="J31" s="46" t="s">
        <v>29</v>
      </c>
      <c r="K31" s="46" t="s">
        <v>29</v>
      </c>
      <c r="L31" s="46" t="s">
        <v>29</v>
      </c>
      <c r="M31" s="46" t="s">
        <v>29</v>
      </c>
    </row>
    <row r="32" spans="2:4" x14ac:dyDescent="0.25">
      <c r="B32" s="128" t="s">
        <v>80</v>
      </c>
      <c r="C32" s="129"/>
      <c r="D32" s="130"/>
    </row>
    <row r="33" spans="2:4" x14ac:dyDescent="0.25">
      <c r="B33" s="131"/>
      <c r="C33" s="129"/>
      <c r="D33" s="130"/>
    </row>
    <row r="34" spans="1:4" x14ac:dyDescent="0.25">
      <c r="A34" s="59" t="s">
        <v>81</v>
      </c>
      <c r="B34" s="132">
        <v>2023</v>
      </c>
      <c r="C34" s="129"/>
      <c r="D34" s="130"/>
    </row>
    <row r="35" spans="2:4" x14ac:dyDescent="0.25">
      <c r="B35" s="131"/>
      <c r="C35" s="129"/>
      <c r="D35" s="130"/>
    </row>
    <row r="36" spans="1:13" s="11" customFormat="1" x14ac:dyDescent="0.25">
      <c r="A36" s="133" t="s">
        <v>155</v>
      </c>
      <c r="B36" s="133"/>
      <c r="C36" s="133"/>
      <c r="D36" s="133"/>
      <c r="E36" s="133"/>
      <c r="F36" s="133"/>
      <c r="G36" s="133"/>
      <c r="H36" s="133"/>
      <c r="I36" s="133"/>
      <c r="J36" s="133"/>
      <c r="K36" s="133"/>
      <c r="L36" s="133"/>
      <c r="M36" s="133"/>
    </row>
    <row r="37" ht="18.75" customHeight="1" spans="1:13" s="11" customFormat="1" x14ac:dyDescent="0.25">
      <c r="A37" s="133" t="s">
        <v>156</v>
      </c>
      <c r="B37" s="133"/>
      <c r="C37" s="133"/>
      <c r="D37" s="133"/>
      <c r="E37" s="133"/>
      <c r="F37" s="133"/>
      <c r="G37" s="133"/>
      <c r="H37" s="133"/>
      <c r="I37" s="133"/>
      <c r="J37" s="133"/>
      <c r="K37" s="133"/>
      <c r="L37" s="133"/>
      <c r="M37" s="133"/>
    </row>
    <row r="38" ht="19.5" customHeight="1" spans="1:13" s="11" customFormat="1" x14ac:dyDescent="0.25">
      <c r="A38" s="133" t="s">
        <v>157</v>
      </c>
      <c r="B38" s="133"/>
      <c r="C38" s="133"/>
      <c r="D38" s="133"/>
      <c r="E38" s="133"/>
      <c r="F38" s="133"/>
      <c r="G38" s="133"/>
      <c r="H38" s="133"/>
      <c r="I38" s="133"/>
      <c r="J38" s="133"/>
      <c r="K38" s="133"/>
      <c r="L38" s="133"/>
      <c r="M38" s="133"/>
    </row>
    <row r="39" spans="1:13" x14ac:dyDescent="0.25">
      <c r="A39" s="134"/>
      <c r="B39" s="135"/>
      <c r="C39" s="136"/>
      <c r="D39" s="136"/>
      <c r="E39" s="136"/>
      <c r="F39" s="136"/>
      <c r="G39" s="136"/>
      <c r="H39" s="136"/>
      <c r="I39" s="136"/>
      <c r="J39" s="136"/>
      <c r="K39" s="136"/>
      <c r="L39" s="136"/>
      <c r="M39" s="136"/>
    </row>
    <row r="40" spans="1:13" s="11" customFormat="1" x14ac:dyDescent="0.25">
      <c r="A40" s="133" t="s">
        <v>158</v>
      </c>
      <c r="B40" s="133"/>
      <c r="C40" s="133"/>
      <c r="D40" s="133"/>
      <c r="E40" s="133"/>
      <c r="F40" s="133"/>
      <c r="G40" s="133"/>
      <c r="H40" s="133"/>
      <c r="I40" s="133"/>
      <c r="J40" s="137"/>
      <c r="K40" s="137"/>
      <c r="L40" s="137"/>
      <c r="M40" s="133"/>
    </row>
    <row r="41" ht="6.75" customHeight="1" spans="1:13" s="11" customFormat="1" x14ac:dyDescent="0.25">
      <c r="A41" s="133"/>
      <c r="B41" s="133"/>
      <c r="C41" s="133"/>
      <c r="D41" s="133"/>
      <c r="E41" s="133"/>
      <c r="F41" s="133"/>
      <c r="G41" s="133"/>
      <c r="H41" s="133"/>
      <c r="I41" s="133"/>
      <c r="J41" s="137"/>
      <c r="K41" s="137"/>
      <c r="L41" s="137"/>
      <c r="M41" s="133"/>
    </row>
    <row r="42" spans="1:13" x14ac:dyDescent="0.25">
      <c r="A42" s="133" t="s">
        <v>159</v>
      </c>
      <c r="B42" s="135"/>
      <c r="C42" s="133"/>
      <c r="D42" s="133"/>
      <c r="E42" s="133"/>
      <c r="F42" s="133"/>
      <c r="G42" s="133"/>
      <c r="H42" s="133"/>
      <c r="I42" s="135"/>
      <c r="J42" s="135"/>
      <c r="K42" s="135"/>
      <c r="L42" s="135"/>
      <c r="M42" s="135"/>
    </row>
    <row r="43" spans="1:13" x14ac:dyDescent="0.25">
      <c r="A43" s="133" t="s">
        <v>160</v>
      </c>
      <c r="B43" s="135"/>
      <c r="C43" s="133"/>
      <c r="D43" s="133"/>
      <c r="E43" s="133"/>
      <c r="F43" s="133"/>
      <c r="G43" s="133"/>
      <c r="H43" s="133"/>
      <c r="I43" s="135"/>
      <c r="J43" s="135"/>
      <c r="K43" s="135"/>
      <c r="L43" s="135"/>
      <c r="M43" s="135"/>
    </row>
    <row r="44" ht="19.5" customHeight="1" spans="1:13" s="11" customFormat="1" x14ac:dyDescent="0.25">
      <c r="A44" s="133" t="s">
        <v>161</v>
      </c>
      <c r="B44" s="133"/>
      <c r="C44" s="133"/>
      <c r="D44" s="133"/>
      <c r="E44" s="133"/>
      <c r="F44" s="133"/>
      <c r="G44" s="133"/>
      <c r="H44" s="133"/>
      <c r="I44" s="133"/>
      <c r="J44" s="133"/>
      <c r="K44" s="133"/>
      <c r="L44" s="133"/>
      <c r="M44" s="133"/>
    </row>
    <row r="45" ht="10.5" customHeight="1" spans="1:13" s="11" customFormat="1" x14ac:dyDescent="0.25">
      <c r="A45" s="138">
        <v>2</v>
      </c>
      <c r="B45" s="138"/>
      <c r="C45" s="138"/>
      <c r="D45" s="138"/>
      <c r="E45" s="138"/>
      <c r="F45" s="138"/>
      <c r="G45" s="138"/>
      <c r="H45" s="138"/>
      <c r="I45" s="138"/>
      <c r="J45" s="138"/>
      <c r="K45" s="138"/>
      <c r="L45" s="138"/>
      <c r="M45" s="138"/>
    </row>
    <row r="46" ht="19.5" customHeight="1" spans="1:13" s="11" customFormat="1" x14ac:dyDescent="0.25">
      <c r="A46" s="133" t="s">
        <v>162</v>
      </c>
      <c r="B46" s="133"/>
      <c r="C46" s="133"/>
      <c r="D46" s="133"/>
      <c r="E46" s="133"/>
      <c r="F46" s="133"/>
      <c r="G46" s="133"/>
      <c r="H46" s="133"/>
      <c r="I46" s="133"/>
      <c r="J46" s="133"/>
      <c r="K46" s="133"/>
      <c r="L46" s="133"/>
      <c r="M46" s="133"/>
    </row>
    <row r="47" spans="1:13" x14ac:dyDescent="0.25">
      <c r="A47" s="134"/>
      <c r="B47" s="135"/>
      <c r="C47" s="136"/>
      <c r="D47" s="136"/>
      <c r="E47" s="136"/>
      <c r="F47" s="136"/>
      <c r="G47" s="136"/>
      <c r="H47" s="136"/>
      <c r="I47" s="136"/>
      <c r="J47" s="136"/>
      <c r="K47" s="136"/>
      <c r="L47" s="136"/>
      <c r="M47" s="136"/>
    </row>
    <row r="48" spans="1:13" s="11" customFormat="1" x14ac:dyDescent="0.25">
      <c r="A48" s="139" t="s">
        <v>163</v>
      </c>
      <c r="B48" s="140" t="s">
        <v>164</v>
      </c>
      <c r="C48" s="140"/>
      <c r="D48" s="140"/>
      <c r="E48" s="140"/>
      <c r="F48" s="140"/>
      <c r="G48" s="140"/>
      <c r="H48" s="140"/>
      <c r="I48" s="140"/>
      <c r="J48" s="140"/>
      <c r="K48" s="140"/>
      <c r="L48" s="141" t="s">
        <v>165</v>
      </c>
      <c r="M48" s="142"/>
    </row>
    <row r="49" spans="1:13" x14ac:dyDescent="0.25">
      <c r="A49" s="143"/>
      <c r="B49" s="144" t="s">
        <v>166</v>
      </c>
      <c r="C49" s="144"/>
      <c r="D49" s="144"/>
      <c r="E49" s="144"/>
      <c r="F49" s="144"/>
      <c r="G49" s="144"/>
      <c r="H49" s="144"/>
      <c r="I49" s="144"/>
      <c r="J49" s="144"/>
      <c r="K49" s="144"/>
      <c r="L49" s="141"/>
      <c r="M49" s="136"/>
    </row>
    <row r="1048570" spans="16384:16384" x14ac:dyDescent="0.25">
      <c r="XFD1048570" s="61" t="str">
        <f>"Primer Trimestre"&amp;" "&amp;$B$34</f>
        <v>Primer Trimestre 2023</v>
      </c>
    </row>
    <row r="1048571" spans="16384:16384" x14ac:dyDescent="0.25">
      <c r="XFD1048571" s="61" t="str">
        <f>"Segundo Trimestre"&amp;" "&amp;$B$34</f>
        <v>Segundo Trimestre 2023</v>
      </c>
    </row>
    <row r="1048572" spans="16384:16384" x14ac:dyDescent="0.25">
      <c r="XFD1048572" s="61" t="str">
        <f>"Tercer Trimestre"&amp;" "&amp;$B$34</f>
        <v>Tercer Trimestre 2023</v>
      </c>
    </row>
    <row r="1048573" spans="16384:16384" x14ac:dyDescent="0.25">
      <c r="XFD1048573" s="61" t="str">
        <f>"Cuarto Trimestre"&amp;" "&amp;$B$34</f>
        <v>Cuarto Trimestre 2023</v>
      </c>
    </row>
  </sheetData>
  <mergeCells count="20">
    <mergeCell ref="A7:M7"/>
    <mergeCell ref="A8:M8"/>
    <mergeCell ref="A9:M9"/>
    <mergeCell ref="C10:D11"/>
    <mergeCell ref="E10:F11"/>
    <mergeCell ref="G10:H11"/>
    <mergeCell ref="I10:M10"/>
    <mergeCell ref="A10:A13"/>
    <mergeCell ref="B10:B13"/>
    <mergeCell ref="J11:M11"/>
    <mergeCell ref="I11:I12"/>
    <mergeCell ref="C13:D13"/>
    <mergeCell ref="E13:F13"/>
    <mergeCell ref="G13:H13"/>
    <mergeCell ref="J13:K13"/>
    <mergeCell ref="L13:M13"/>
    <mergeCell ref="A45:M45"/>
    <mergeCell ref="B48:K48"/>
    <mergeCell ref="B49:K49"/>
    <mergeCell ref="L48:L49"/>
  </mergeCells>
  <dataValidations count="1">
    <dataValidation type="list" allowBlank="1" showInputMessage="1" showErrorMessage="1" sqref="M6">
      <formula1>$XFD$1048570:$XFD$1048573</formula1>
    </dataValidation>
  </dataValidations>
  <printOptions horizontalCentered="1"/>
  <pageMargins left="0.31496062992125984" right="0.7086614173228347" top="0.6299212598425197" bottom="0.5511811023622047" header="0.31496062992125984" footer="0.31496062992125984"/>
  <pageSetup orientation="landscape" horizontalDpi="4294967295" verticalDpi="4294967295" scale="65" fitToWidth="1" fitToHeight="1" firstPageNumber="1" useFirstPageNumber="1" copies="1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XFD1048571"/>
  <sheetViews>
    <sheetView workbookViewId="0" showGridLines="0" zoomScale="80" zoomScaleNormal="80">
      <selection activeCell="G27" sqref="G27"/>
    </sheetView>
  </sheetViews>
  <sheetFormatPr defaultRowHeight="13.2" outlineLevelRow="0" outlineLevelCol="0" x14ac:dyDescent="0.25" defaultColWidth="12" customHeight="1"/>
  <cols>
    <col min="1" max="1" width="7.85546875" style="2" customWidth="1"/>
    <col min="2" max="2" width="18.7109375" style="2" customWidth="1"/>
    <col min="3" max="3" width="60.85546875" style="2" customWidth="1"/>
    <col min="4" max="4" width="15.85546875" style="2" customWidth="1"/>
    <col min="5" max="5" width="20" style="2" customWidth="1"/>
    <col min="6" max="7" width="17.28515625" style="2" customWidth="1"/>
    <col min="8" max="16384" width="12" style="2" customWidth="1"/>
  </cols>
  <sheetData>
    <row r="6" spans="1:6" x14ac:dyDescent="0.25">
      <c r="A6" s="5" t="s">
        <v>0</v>
      </c>
      <c r="B6" s="145"/>
      <c r="C6" s="145"/>
      <c r="D6" s="145"/>
      <c r="E6" s="145"/>
      <c r="F6" s="146" t="s">
        <v>104</v>
      </c>
    </row>
    <row r="8" ht="12" customHeight="1" spans="1:6" x14ac:dyDescent="0.25">
      <c r="A8" s="147"/>
      <c r="B8" s="148"/>
      <c r="C8" s="148" t="s">
        <v>167</v>
      </c>
      <c r="D8" s="148"/>
      <c r="E8" s="148"/>
      <c r="F8" s="149"/>
    </row>
    <row r="9" ht="18" customHeight="1" spans="1:6" x14ac:dyDescent="0.25">
      <c r="A9" s="150"/>
      <c r="B9" s="151"/>
      <c r="C9" s="151" t="s">
        <v>168</v>
      </c>
      <c r="D9" s="151"/>
      <c r="E9" s="151"/>
      <c r="F9" s="152"/>
    </row>
    <row r="10" ht="10.2" customHeight="1" spans="1:6" x14ac:dyDescent="0.25">
      <c r="A10" s="153"/>
      <c r="B10" s="154"/>
      <c r="C10" s="154"/>
      <c r="D10" s="154"/>
      <c r="E10" s="154"/>
      <c r="F10" s="155"/>
    </row>
    <row r="11" ht="26.4" customHeight="1" spans="1:6" x14ac:dyDescent="0.25">
      <c r="A11" s="156" t="s">
        <v>169</v>
      </c>
      <c r="B11" s="157" t="s">
        <v>170</v>
      </c>
      <c r="C11" s="157" t="s">
        <v>171</v>
      </c>
      <c r="D11" s="157" t="s">
        <v>172</v>
      </c>
      <c r="E11" s="157" t="s">
        <v>173</v>
      </c>
      <c r="F11" s="157" t="s">
        <v>174</v>
      </c>
    </row>
    <row r="12" ht="1.2" customHeight="1" spans="1:6" x14ac:dyDescent="0.25">
      <c r="A12" s="43"/>
      <c r="B12" s="44"/>
      <c r="C12" s="158"/>
      <c r="D12" s="158"/>
      <c r="E12" s="158"/>
      <c r="F12" s="159"/>
    </row>
    <row r="13" hidden="1" spans="1:6" x14ac:dyDescent="0.25">
      <c r="A13" s="43"/>
      <c r="B13" s="44"/>
      <c r="C13" s="158"/>
      <c r="D13" s="158"/>
      <c r="E13" s="158"/>
      <c r="F13" s="159"/>
    </row>
    <row r="14" hidden="1" spans="1:6" x14ac:dyDescent="0.25">
      <c r="A14" s="43"/>
      <c r="B14" s="44"/>
      <c r="C14" s="158"/>
      <c r="D14" s="158"/>
      <c r="E14" s="158"/>
      <c r="F14" s="159"/>
    </row>
    <row r="15" spans="1:6" x14ac:dyDescent="0.25">
      <c r="A15" s="43" t="s">
        <v>21</v>
      </c>
      <c r="B15" s="44" t="s">
        <v>22</v>
      </c>
      <c r="C15" s="158" t="s">
        <v>29</v>
      </c>
      <c r="D15" s="158" t="s">
        <v>29</v>
      </c>
      <c r="E15" s="158" t="s">
        <v>29</v>
      </c>
      <c r="F15" s="159" t="s">
        <v>29</v>
      </c>
    </row>
    <row r="16" spans="1:6" x14ac:dyDescent="0.25">
      <c r="A16" s="87" t="s">
        <v>33</v>
      </c>
      <c r="B16" s="88" t="s">
        <v>34</v>
      </c>
      <c r="C16" s="158" t="s">
        <v>29</v>
      </c>
      <c r="D16" s="158" t="s">
        <v>29</v>
      </c>
      <c r="E16" s="158" t="s">
        <v>29</v>
      </c>
      <c r="F16" s="159" t="s">
        <v>29</v>
      </c>
    </row>
    <row r="17" spans="1:6" x14ac:dyDescent="0.25">
      <c r="A17" s="87" t="s">
        <v>50</v>
      </c>
      <c r="B17" s="88" t="s">
        <v>51</v>
      </c>
      <c r="C17" s="158" t="s">
        <v>29</v>
      </c>
      <c r="D17" s="158" t="s">
        <v>29</v>
      </c>
      <c r="E17" s="158" t="s">
        <v>29</v>
      </c>
      <c r="F17" s="159" t="s">
        <v>29</v>
      </c>
    </row>
    <row r="18" spans="1:6" x14ac:dyDescent="0.25">
      <c r="A18" s="87" t="s">
        <v>52</v>
      </c>
      <c r="B18" s="88" t="s">
        <v>53</v>
      </c>
      <c r="C18" s="158" t="s">
        <v>29</v>
      </c>
      <c r="D18" s="158" t="s">
        <v>29</v>
      </c>
      <c r="E18" s="158" t="s">
        <v>29</v>
      </c>
      <c r="F18" s="159" t="s">
        <v>29</v>
      </c>
    </row>
    <row r="19" spans="1:6" x14ac:dyDescent="0.25">
      <c r="A19" s="87" t="s">
        <v>54</v>
      </c>
      <c r="B19" s="88" t="s">
        <v>55</v>
      </c>
      <c r="C19" s="158" t="s">
        <v>29</v>
      </c>
      <c r="D19" s="158" t="s">
        <v>29</v>
      </c>
      <c r="E19" s="158" t="s">
        <v>29</v>
      </c>
      <c r="F19" s="159" t="s">
        <v>29</v>
      </c>
    </row>
    <row r="20" spans="1:6" x14ac:dyDescent="0.25">
      <c r="A20" s="87" t="s">
        <v>56</v>
      </c>
      <c r="B20" s="88" t="s">
        <v>57</v>
      </c>
      <c r="C20" s="158" t="s">
        <v>29</v>
      </c>
      <c r="D20" s="158" t="s">
        <v>29</v>
      </c>
      <c r="E20" s="158" t="s">
        <v>29</v>
      </c>
      <c r="F20" s="159" t="s">
        <v>29</v>
      </c>
    </row>
    <row r="21" spans="1:6" x14ac:dyDescent="0.25">
      <c r="A21" s="87" t="s">
        <v>58</v>
      </c>
      <c r="B21" s="88" t="s">
        <v>59</v>
      </c>
      <c r="C21" s="158" t="s">
        <v>29</v>
      </c>
      <c r="D21" s="158" t="s">
        <v>29</v>
      </c>
      <c r="E21" s="158" t="s">
        <v>29</v>
      </c>
      <c r="F21" s="159" t="s">
        <v>29</v>
      </c>
    </row>
    <row r="22" spans="1:6" x14ac:dyDescent="0.25">
      <c r="A22" s="87" t="s">
        <v>60</v>
      </c>
      <c r="B22" s="88" t="s">
        <v>61</v>
      </c>
      <c r="C22" s="158" t="s">
        <v>29</v>
      </c>
      <c r="D22" s="158" t="s">
        <v>29</v>
      </c>
      <c r="E22" s="158" t="s">
        <v>29</v>
      </c>
      <c r="F22" s="159" t="s">
        <v>29</v>
      </c>
    </row>
    <row r="23" spans="1:6" x14ac:dyDescent="0.25">
      <c r="A23" s="87" t="s">
        <v>62</v>
      </c>
      <c r="B23" s="88" t="s">
        <v>63</v>
      </c>
      <c r="C23" s="158" t="s">
        <v>29</v>
      </c>
      <c r="D23" s="158" t="s">
        <v>29</v>
      </c>
      <c r="E23" s="158" t="s">
        <v>29</v>
      </c>
      <c r="F23" s="159" t="s">
        <v>29</v>
      </c>
    </row>
    <row r="24" spans="1:6" x14ac:dyDescent="0.25">
      <c r="A24" s="87" t="s">
        <v>64</v>
      </c>
      <c r="B24" s="88" t="s">
        <v>65</v>
      </c>
      <c r="C24" s="158" t="s">
        <v>29</v>
      </c>
      <c r="D24" s="158" t="s">
        <v>29</v>
      </c>
      <c r="E24" s="158" t="s">
        <v>29</v>
      </c>
      <c r="F24" s="159" t="s">
        <v>29</v>
      </c>
    </row>
    <row r="25" spans="1:6" x14ac:dyDescent="0.25">
      <c r="A25" s="87" t="s">
        <v>66</v>
      </c>
      <c r="B25" s="88" t="s">
        <v>67</v>
      </c>
      <c r="C25" s="158" t="s">
        <v>29</v>
      </c>
      <c r="D25" s="158" t="s">
        <v>29</v>
      </c>
      <c r="E25" s="158" t="s">
        <v>29</v>
      </c>
      <c r="F25" s="159" t="s">
        <v>29</v>
      </c>
    </row>
    <row r="26" spans="1:6" x14ac:dyDescent="0.25">
      <c r="A26" s="87" t="s">
        <v>68</v>
      </c>
      <c r="B26" s="88" t="s">
        <v>69</v>
      </c>
      <c r="C26" s="158" t="s">
        <v>29</v>
      </c>
      <c r="D26" s="158" t="s">
        <v>29</v>
      </c>
      <c r="E26" s="158" t="s">
        <v>29</v>
      </c>
      <c r="F26" s="159" t="s">
        <v>29</v>
      </c>
    </row>
    <row r="27" spans="1:6" x14ac:dyDescent="0.25">
      <c r="A27" s="87" t="s">
        <v>70</v>
      </c>
      <c r="B27" s="88" t="s">
        <v>71</v>
      </c>
      <c r="C27" s="158" t="s">
        <v>29</v>
      </c>
      <c r="D27" s="158" t="s">
        <v>29</v>
      </c>
      <c r="E27" s="158" t="s">
        <v>29</v>
      </c>
      <c r="F27" s="159" t="s">
        <v>29</v>
      </c>
    </row>
    <row r="28" spans="1:6" x14ac:dyDescent="0.25">
      <c r="A28" s="87" t="s">
        <v>72</v>
      </c>
      <c r="B28" s="88" t="s">
        <v>73</v>
      </c>
      <c r="C28" s="158" t="s">
        <v>29</v>
      </c>
      <c r="D28" s="158" t="s">
        <v>29</v>
      </c>
      <c r="E28" s="158" t="s">
        <v>29</v>
      </c>
      <c r="F28" s="159" t="s">
        <v>29</v>
      </c>
    </row>
    <row r="29" spans="1:6" x14ac:dyDescent="0.25">
      <c r="A29" s="87" t="s">
        <v>74</v>
      </c>
      <c r="B29" s="88" t="s">
        <v>75</v>
      </c>
      <c r="C29" s="158" t="s">
        <v>29</v>
      </c>
      <c r="D29" s="158" t="s">
        <v>29</v>
      </c>
      <c r="E29" s="158" t="s">
        <v>29</v>
      </c>
      <c r="F29" s="159" t="s">
        <v>29</v>
      </c>
    </row>
    <row r="30" spans="1:6" x14ac:dyDescent="0.25">
      <c r="A30" s="87" t="s">
        <v>76</v>
      </c>
      <c r="B30" s="88" t="s">
        <v>77</v>
      </c>
      <c r="C30" s="158" t="s">
        <v>29</v>
      </c>
      <c r="D30" s="158" t="s">
        <v>29</v>
      </c>
      <c r="E30" s="158" t="s">
        <v>29</v>
      </c>
      <c r="F30" s="159" t="s">
        <v>29</v>
      </c>
    </row>
    <row r="31" spans="1:6" x14ac:dyDescent="0.25">
      <c r="A31" s="87" t="s">
        <v>78</v>
      </c>
      <c r="B31" s="88" t="s">
        <v>79</v>
      </c>
      <c r="C31" s="158" t="s">
        <v>29</v>
      </c>
      <c r="D31" s="158" t="s">
        <v>29</v>
      </c>
      <c r="E31" s="158" t="s">
        <v>29</v>
      </c>
      <c r="F31" s="159" t="s">
        <v>29</v>
      </c>
    </row>
    <row r="32" spans="2:6" x14ac:dyDescent="0.25">
      <c r="B32" s="55" t="s">
        <v>80</v>
      </c>
      <c r="C32" s="160">
        <f>SUM(C12:C31)</f>
        <v>0</v>
      </c>
      <c r="D32" s="160">
        <f>SUM(D12:D31)</f>
        <v>0</v>
      </c>
      <c r="E32" s="160">
        <f>SUM(E12:E31)</f>
        <v>0</v>
      </c>
      <c r="F32" s="161"/>
    </row>
    <row r="34" spans="1:2" x14ac:dyDescent="0.25">
      <c r="A34" s="162" t="s">
        <v>81</v>
      </c>
      <c r="B34" s="60">
        <v>2023</v>
      </c>
    </row>
    <row r="35" spans="7:7" x14ac:dyDescent="0.25">
      <c r="G35" s="163" t="s">
        <v>175</v>
      </c>
    </row>
    <row r="36" spans="7:7" x14ac:dyDescent="0.25">
      <c r="G36" s="163"/>
    </row>
    <row r="38" spans="1:6" x14ac:dyDescent="0.25">
      <c r="A38" s="164" t="s">
        <v>176</v>
      </c>
      <c r="B38" s="164"/>
      <c r="C38" s="165" t="s">
        <v>177</v>
      </c>
      <c r="D38" s="165"/>
      <c r="E38" s="165"/>
      <c r="F38" s="165"/>
    </row>
    <row r="39" spans="1:6" x14ac:dyDescent="0.25">
      <c r="A39" s="164"/>
      <c r="B39" s="164"/>
      <c r="C39" s="166" t="s">
        <v>178</v>
      </c>
      <c r="D39" s="166"/>
      <c r="E39" s="166"/>
      <c r="F39" s="166"/>
    </row>
    <row r="1048568" spans="16384:16384" x14ac:dyDescent="0.25">
      <c r="XFD1048568" s="61" t="str">
        <f>"Primer Trimestre"&amp;" "&amp;$B$34</f>
        <v>Primer Trimestre 2023</v>
      </c>
    </row>
    <row r="1048569" spans="16384:16384" x14ac:dyDescent="0.25">
      <c r="XFD1048569" s="61" t="str">
        <f>"Segundo Trimestre"&amp;" "&amp;$B$34</f>
        <v>Segundo Trimestre 2023</v>
      </c>
    </row>
    <row r="1048570" spans="16384:16384" x14ac:dyDescent="0.25">
      <c r="XFD1048570" s="61" t="str">
        <f>"Tercer Trimestre"&amp;" "&amp;$B$34</f>
        <v>Tercer Trimestre 2023</v>
      </c>
    </row>
    <row r="1048571" spans="16384:16384" x14ac:dyDescent="0.25">
      <c r="XFD1048571" s="61" t="str">
        <f>"Cuarto Trimestre"&amp;" "&amp;$B$34</f>
        <v>Cuarto Trimestre 2023</v>
      </c>
    </row>
  </sheetData>
  <mergeCells count="4">
    <mergeCell ref="G35:G36"/>
    <mergeCell ref="A38:B39"/>
    <mergeCell ref="C38:F38"/>
    <mergeCell ref="C39:F39"/>
  </mergeCells>
  <dataValidations count="1">
    <dataValidation type="list" allowBlank="1" showInputMessage="1" showErrorMessage="1" sqref="F6">
      <formula1>$XFD$1048568:$XFD$1048571</formula1>
    </dataValidation>
  </dataValidations>
  <pageMargins left="0.7086614173228347" right="0.7086614173228347" top="0.7480314960629921" bottom="0.7480314960629921" header="0.31496062992125984" footer="0.31496062992125984"/>
  <pageSetup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PD</vt:lpstr>
      <vt:lpstr>COB_EXC</vt:lpstr>
      <vt:lpstr>GTOSOP</vt:lpstr>
      <vt:lpstr>ORVAS</vt:lpstr>
      <vt:lpstr>IND. GESTION</vt:lpstr>
      <vt:lpstr>ROE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Sonia Montoya Betancourt</dc:creator>
  <cp:lastModifiedBy>hp</cp:lastModifiedBy>
  <cp:lastPrinted>2020-08-18T04:05:31Z</cp:lastPrinted>
  <dcterms:created xsi:type="dcterms:W3CDTF">2013-08-05T14:49:22Z</dcterms:created>
  <dcterms:modified xsi:type="dcterms:W3CDTF">2024-02-21T20:11:21Z</dcterms:modified>
</cp:coreProperties>
</file>